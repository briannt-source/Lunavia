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4FACEDB-316F-40F8-8140-2AFAEF026245}" xr6:coauthVersionLast="36" xr6:coauthVersionMax="36" xr10:uidLastSave="{00000000-0000-0000-0000-000000000000}"/>
  <bookViews>
    <workbookView xWindow="0" yWindow="0" windowWidth="19200" windowHeight="111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79021"/>
</workbook>
</file>

<file path=xl/calcChain.xml><?xml version="1.0" encoding="utf-8"?>
<calcChain xmlns="http://schemas.openxmlformats.org/spreadsheetml/2006/main">
  <c r="J131" i="1" l="1"/>
  <c r="I131" i="1"/>
  <c r="H131" i="1"/>
  <c r="G131" i="1"/>
  <c r="F131" i="1"/>
  <c r="J130" i="1"/>
  <c r="I130" i="1"/>
  <c r="H130" i="1"/>
  <c r="G130" i="1"/>
  <c r="F130" i="1"/>
  <c r="J129" i="1"/>
  <c r="I129" i="1"/>
  <c r="H129" i="1"/>
  <c r="G129" i="1"/>
  <c r="F129" i="1"/>
  <c r="J128" i="1"/>
  <c r="I128" i="1"/>
  <c r="H128" i="1"/>
  <c r="G128" i="1"/>
  <c r="F128" i="1"/>
  <c r="J127" i="1"/>
  <c r="I127" i="1"/>
  <c r="H127" i="1"/>
  <c r="G127" i="1"/>
  <c r="F127" i="1"/>
  <c r="J126" i="1"/>
  <c r="I126" i="1"/>
  <c r="H126" i="1"/>
  <c r="G126" i="1"/>
  <c r="F126" i="1"/>
  <c r="J125" i="1"/>
  <c r="I125" i="1"/>
  <c r="H125" i="1"/>
  <c r="G125" i="1"/>
  <c r="F125" i="1"/>
  <c r="J124" i="1"/>
  <c r="I124" i="1"/>
  <c r="H124" i="1"/>
  <c r="G124" i="1"/>
  <c r="F124" i="1"/>
  <c r="J123" i="1"/>
  <c r="I123" i="1"/>
  <c r="H123" i="1"/>
  <c r="G123" i="1"/>
  <c r="F123" i="1"/>
  <c r="J122" i="1"/>
  <c r="I122" i="1"/>
  <c r="H122" i="1"/>
  <c r="G122" i="1"/>
  <c r="F122" i="1"/>
  <c r="J121" i="1"/>
  <c r="I121" i="1"/>
  <c r="H121" i="1"/>
  <c r="G121" i="1"/>
  <c r="F121" i="1"/>
  <c r="J120" i="1"/>
  <c r="I120" i="1"/>
  <c r="H120" i="1"/>
  <c r="G120" i="1"/>
  <c r="F120" i="1"/>
  <c r="J119" i="1"/>
  <c r="I119" i="1"/>
  <c r="H119" i="1"/>
  <c r="G119" i="1"/>
  <c r="F119" i="1"/>
  <c r="J118" i="1"/>
  <c r="I118" i="1"/>
  <c r="H118" i="1"/>
  <c r="G118" i="1"/>
  <c r="F118" i="1"/>
  <c r="J117" i="1"/>
  <c r="I117" i="1"/>
  <c r="H117" i="1"/>
  <c r="G117" i="1"/>
  <c r="F117" i="1"/>
  <c r="J116" i="1"/>
  <c r="I116" i="1"/>
  <c r="H116" i="1"/>
  <c r="G116" i="1"/>
  <c r="F116" i="1"/>
  <c r="J115" i="1"/>
  <c r="I115" i="1"/>
  <c r="H115" i="1"/>
  <c r="G115" i="1"/>
  <c r="F115" i="1"/>
  <c r="J114" i="1"/>
  <c r="I114" i="1"/>
  <c r="H114" i="1"/>
  <c r="G114" i="1"/>
  <c r="F114" i="1"/>
  <c r="J113" i="1"/>
  <c r="I113" i="1"/>
  <c r="H113" i="1"/>
  <c r="G113" i="1"/>
  <c r="F113" i="1"/>
  <c r="J112" i="1"/>
  <c r="I112" i="1"/>
  <c r="H112" i="1"/>
  <c r="G112" i="1"/>
  <c r="F112" i="1"/>
  <c r="J111" i="1"/>
  <c r="I111" i="1"/>
  <c r="H111" i="1"/>
  <c r="G111" i="1"/>
  <c r="F111" i="1"/>
  <c r="J110" i="1"/>
  <c r="I110" i="1"/>
  <c r="H110" i="1"/>
  <c r="G110" i="1"/>
  <c r="F110" i="1"/>
  <c r="J109" i="1"/>
  <c r="I109" i="1"/>
  <c r="H109" i="1"/>
  <c r="G109" i="1"/>
  <c r="F109" i="1"/>
  <c r="J108" i="1"/>
  <c r="I108" i="1"/>
  <c r="H108" i="1"/>
  <c r="G108" i="1"/>
  <c r="F108" i="1"/>
  <c r="J107" i="1"/>
  <c r="I107" i="1"/>
  <c r="H107" i="1"/>
  <c r="G107" i="1"/>
  <c r="F107" i="1"/>
  <c r="J106" i="1"/>
  <c r="I106" i="1"/>
  <c r="H106" i="1"/>
  <c r="G106" i="1"/>
  <c r="F106" i="1"/>
  <c r="J105" i="1"/>
  <c r="I105" i="1"/>
  <c r="H105" i="1"/>
  <c r="G105" i="1"/>
  <c r="F105" i="1"/>
  <c r="J104" i="1"/>
  <c r="I104" i="1"/>
  <c r="H104" i="1"/>
  <c r="G104" i="1"/>
  <c r="F104" i="1"/>
  <c r="J103" i="1"/>
  <c r="I103" i="1"/>
  <c r="H103" i="1"/>
  <c r="G103" i="1"/>
  <c r="F103" i="1"/>
  <c r="J102" i="1"/>
  <c r="I102" i="1"/>
  <c r="H102" i="1"/>
  <c r="G102" i="1"/>
  <c r="F102" i="1"/>
  <c r="J101" i="1"/>
  <c r="I101" i="1"/>
  <c r="H101" i="1"/>
  <c r="G101" i="1"/>
  <c r="F101" i="1"/>
  <c r="J100" i="1"/>
  <c r="I100" i="1"/>
  <c r="H100" i="1"/>
  <c r="G100" i="1"/>
  <c r="F100" i="1"/>
  <c r="J99" i="1"/>
  <c r="I99" i="1"/>
  <c r="H99" i="1"/>
  <c r="G99" i="1"/>
  <c r="F99" i="1"/>
  <c r="J98" i="1"/>
  <c r="I98" i="1"/>
  <c r="H98" i="1"/>
  <c r="G98" i="1"/>
  <c r="F98" i="1"/>
  <c r="J97" i="1"/>
  <c r="I97" i="1"/>
  <c r="H97" i="1"/>
  <c r="G97" i="1"/>
  <c r="F97" i="1"/>
  <c r="J96" i="1"/>
  <c r="I96" i="1"/>
  <c r="H96" i="1"/>
  <c r="G96" i="1"/>
  <c r="F96" i="1"/>
  <c r="J95" i="1"/>
  <c r="I95" i="1"/>
  <c r="H95" i="1"/>
  <c r="G95" i="1"/>
  <c r="F95" i="1"/>
  <c r="J94" i="1"/>
  <c r="I94" i="1"/>
  <c r="H94" i="1"/>
  <c r="G94" i="1"/>
  <c r="F94" i="1"/>
  <c r="J93" i="1"/>
  <c r="I93" i="1"/>
  <c r="H93" i="1"/>
  <c r="G93" i="1"/>
  <c r="F93" i="1"/>
  <c r="J92" i="1"/>
  <c r="I92" i="1"/>
  <c r="H92" i="1"/>
  <c r="G92" i="1"/>
  <c r="F92" i="1"/>
  <c r="J91" i="1"/>
  <c r="I91" i="1"/>
  <c r="H91" i="1"/>
  <c r="G91" i="1"/>
  <c r="F91" i="1"/>
  <c r="J90" i="1"/>
  <c r="I90" i="1"/>
  <c r="H90" i="1"/>
  <c r="G90" i="1"/>
  <c r="F90" i="1"/>
  <c r="J89" i="1"/>
  <c r="I89" i="1"/>
  <c r="H89" i="1"/>
  <c r="G89" i="1"/>
  <c r="F89" i="1"/>
  <c r="J88" i="1"/>
  <c r="I88" i="1"/>
  <c r="H88" i="1"/>
  <c r="G88" i="1"/>
  <c r="F88" i="1"/>
  <c r="J87" i="1"/>
  <c r="I87" i="1"/>
  <c r="H87" i="1"/>
  <c r="G87" i="1"/>
  <c r="F87" i="1"/>
  <c r="J86" i="1"/>
  <c r="I86" i="1"/>
  <c r="H86" i="1"/>
  <c r="G86" i="1"/>
  <c r="F86" i="1"/>
  <c r="J85" i="1"/>
  <c r="I85" i="1"/>
  <c r="H85" i="1"/>
  <c r="G85" i="1"/>
  <c r="F85" i="1"/>
  <c r="J84" i="1"/>
  <c r="I84" i="1"/>
  <c r="H84" i="1"/>
  <c r="G84" i="1"/>
  <c r="F84" i="1"/>
  <c r="J83" i="1"/>
  <c r="I83" i="1"/>
  <c r="H83" i="1"/>
  <c r="G83" i="1"/>
  <c r="F83" i="1"/>
  <c r="J82" i="1"/>
  <c r="I82" i="1"/>
  <c r="H82" i="1"/>
  <c r="G82" i="1"/>
  <c r="F82" i="1"/>
  <c r="J81" i="1"/>
  <c r="I81" i="1"/>
  <c r="H81" i="1"/>
  <c r="G81" i="1"/>
  <c r="F81" i="1"/>
  <c r="J80" i="1"/>
  <c r="I80" i="1"/>
  <c r="H80" i="1"/>
  <c r="G80" i="1"/>
  <c r="F80" i="1"/>
  <c r="J79" i="1"/>
  <c r="I79" i="1"/>
  <c r="H79" i="1"/>
  <c r="G79" i="1"/>
  <c r="F79" i="1"/>
  <c r="J78" i="1"/>
  <c r="I78" i="1"/>
  <c r="H78" i="1"/>
  <c r="G78" i="1"/>
  <c r="F78" i="1"/>
  <c r="J77" i="1"/>
  <c r="I77" i="1"/>
  <c r="H77" i="1"/>
  <c r="G77" i="1"/>
  <c r="F77" i="1"/>
  <c r="J75" i="1"/>
  <c r="I75" i="1"/>
  <c r="H75" i="1"/>
  <c r="G75" i="1"/>
  <c r="F75" i="1"/>
  <c r="J74" i="1"/>
  <c r="I74" i="1"/>
  <c r="H74" i="1"/>
  <c r="G74" i="1"/>
  <c r="F74" i="1"/>
  <c r="J73" i="1"/>
  <c r="I73" i="1"/>
  <c r="H73" i="1"/>
  <c r="G73" i="1"/>
  <c r="F73" i="1"/>
  <c r="J72" i="1"/>
  <c r="I72" i="1"/>
  <c r="H72" i="1"/>
  <c r="G72" i="1"/>
  <c r="F72" i="1"/>
  <c r="J71" i="1"/>
  <c r="I71" i="1"/>
  <c r="H71" i="1"/>
  <c r="G71" i="1"/>
  <c r="F71" i="1"/>
  <c r="J70" i="1"/>
  <c r="I70" i="1"/>
  <c r="H70" i="1"/>
  <c r="G70" i="1"/>
  <c r="F70" i="1"/>
  <c r="J69" i="1"/>
  <c r="I69" i="1"/>
  <c r="H69" i="1"/>
  <c r="G69" i="1"/>
  <c r="F69" i="1"/>
  <c r="J68" i="1"/>
  <c r="I68" i="1"/>
  <c r="H68" i="1"/>
  <c r="G68" i="1"/>
  <c r="F68" i="1"/>
  <c r="J67" i="1"/>
  <c r="I67" i="1"/>
  <c r="H67" i="1"/>
  <c r="G67" i="1"/>
  <c r="F67" i="1"/>
  <c r="J66" i="1"/>
  <c r="I66" i="1"/>
  <c r="H66" i="1"/>
  <c r="G66" i="1"/>
  <c r="F66" i="1"/>
  <c r="J65" i="1"/>
  <c r="I65" i="1"/>
  <c r="H65" i="1"/>
  <c r="G65" i="1"/>
  <c r="F65" i="1"/>
  <c r="J64" i="1"/>
  <c r="I64" i="1"/>
  <c r="H64" i="1"/>
  <c r="G64" i="1"/>
  <c r="F64" i="1"/>
  <c r="J63" i="1"/>
  <c r="I63" i="1"/>
  <c r="H63" i="1"/>
  <c r="G63" i="1"/>
  <c r="F63" i="1"/>
  <c r="J62" i="1"/>
  <c r="I62" i="1"/>
  <c r="H62" i="1"/>
  <c r="G62" i="1"/>
  <c r="F62" i="1"/>
  <c r="J61" i="1"/>
  <c r="I61" i="1"/>
  <c r="H61" i="1"/>
  <c r="G61" i="1"/>
  <c r="F61" i="1"/>
  <c r="J60" i="1"/>
  <c r="I60" i="1"/>
  <c r="H60" i="1"/>
  <c r="G60" i="1"/>
  <c r="F60" i="1"/>
  <c r="J59" i="1"/>
  <c r="I59" i="1"/>
  <c r="H59" i="1"/>
  <c r="G59" i="1"/>
  <c r="F59" i="1"/>
  <c r="J58" i="1"/>
  <c r="I58" i="1"/>
  <c r="H58" i="1"/>
  <c r="G58" i="1"/>
  <c r="F58" i="1"/>
  <c r="J57" i="1"/>
  <c r="I57" i="1"/>
  <c r="H57" i="1"/>
  <c r="G57" i="1"/>
  <c r="F57" i="1"/>
  <c r="J56" i="1"/>
  <c r="I56" i="1"/>
  <c r="H56" i="1"/>
  <c r="G56" i="1"/>
  <c r="F56" i="1"/>
  <c r="J55" i="1"/>
  <c r="I55" i="1"/>
  <c r="H55" i="1"/>
  <c r="G55" i="1"/>
  <c r="F55" i="1"/>
  <c r="J54" i="1"/>
  <c r="I54" i="1"/>
  <c r="H54" i="1"/>
  <c r="G54" i="1"/>
  <c r="F54" i="1"/>
  <c r="J53" i="1"/>
  <c r="I53" i="1"/>
  <c r="H53" i="1"/>
  <c r="G53" i="1"/>
  <c r="F53" i="1"/>
  <c r="J52" i="1"/>
  <c r="I52" i="1"/>
  <c r="H52" i="1"/>
  <c r="G52" i="1"/>
  <c r="F52" i="1"/>
  <c r="J51" i="1"/>
  <c r="I51" i="1"/>
  <c r="H51" i="1"/>
  <c r="G51" i="1"/>
  <c r="F51" i="1"/>
  <c r="J50" i="1"/>
  <c r="I50" i="1"/>
  <c r="H50" i="1"/>
  <c r="G50" i="1"/>
  <c r="F50" i="1"/>
  <c r="J49" i="1"/>
  <c r="I49" i="1"/>
  <c r="H49" i="1"/>
  <c r="G49" i="1"/>
  <c r="F49" i="1"/>
  <c r="J48" i="1"/>
  <c r="I48" i="1"/>
  <c r="H48" i="1"/>
  <c r="G48" i="1"/>
  <c r="F48" i="1"/>
  <c r="J47" i="1"/>
  <c r="I47" i="1"/>
  <c r="H47" i="1"/>
  <c r="G47" i="1"/>
  <c r="F47" i="1"/>
  <c r="J46" i="1"/>
  <c r="I46" i="1"/>
  <c r="H46" i="1"/>
  <c r="G46" i="1"/>
  <c r="F46" i="1"/>
  <c r="J45" i="1"/>
  <c r="I45" i="1"/>
  <c r="H45" i="1"/>
  <c r="G45" i="1"/>
  <c r="F45" i="1"/>
  <c r="J44" i="1"/>
  <c r="I44" i="1"/>
  <c r="H44" i="1"/>
  <c r="G44" i="1"/>
  <c r="F44" i="1"/>
  <c r="J43" i="1"/>
  <c r="I43" i="1"/>
  <c r="H43" i="1"/>
  <c r="G43" i="1"/>
  <c r="F43" i="1"/>
  <c r="J42" i="1"/>
  <c r="I42" i="1"/>
  <c r="H42" i="1"/>
  <c r="G42" i="1"/>
  <c r="F42" i="1"/>
  <c r="J41" i="1"/>
  <c r="I41" i="1"/>
  <c r="H41" i="1"/>
  <c r="G41" i="1"/>
  <c r="F41" i="1"/>
  <c r="J40" i="1"/>
  <c r="I40" i="1"/>
  <c r="H40" i="1"/>
  <c r="G40" i="1"/>
  <c r="F40" i="1"/>
  <c r="J39" i="1"/>
  <c r="I39" i="1"/>
  <c r="H39" i="1"/>
  <c r="G39" i="1"/>
  <c r="F39" i="1"/>
  <c r="J38" i="1"/>
  <c r="I38" i="1"/>
  <c r="H38" i="1"/>
  <c r="G38" i="1"/>
  <c r="F38" i="1"/>
  <c r="J37" i="1"/>
  <c r="I37" i="1"/>
  <c r="H37" i="1"/>
  <c r="G37" i="1"/>
  <c r="F37" i="1"/>
  <c r="J36" i="1"/>
  <c r="I36" i="1"/>
  <c r="H36" i="1"/>
  <c r="G36" i="1"/>
  <c r="F36" i="1"/>
  <c r="J35" i="1"/>
  <c r="I35" i="1"/>
  <c r="H35" i="1"/>
  <c r="G35" i="1"/>
  <c r="F35" i="1"/>
  <c r="J34" i="1"/>
  <c r="I34" i="1"/>
  <c r="H34" i="1"/>
  <c r="G34" i="1"/>
  <c r="F34" i="1"/>
  <c r="J33" i="1"/>
  <c r="I33" i="1"/>
  <c r="H33" i="1"/>
  <c r="G33" i="1"/>
  <c r="F33" i="1"/>
  <c r="J32" i="1"/>
  <c r="I32" i="1"/>
  <c r="H32" i="1"/>
  <c r="G32" i="1"/>
  <c r="F32" i="1"/>
  <c r="J31" i="1"/>
  <c r="I31" i="1"/>
  <c r="H31" i="1"/>
  <c r="G31" i="1"/>
  <c r="F31" i="1"/>
  <c r="J30" i="1"/>
  <c r="I30" i="1"/>
  <c r="H30" i="1"/>
  <c r="G30" i="1"/>
  <c r="F30" i="1"/>
  <c r="J29" i="1"/>
  <c r="I29" i="1"/>
  <c r="H29" i="1"/>
  <c r="G29" i="1"/>
  <c r="F29" i="1"/>
  <c r="J28" i="1"/>
  <c r="I28" i="1"/>
  <c r="H28" i="1"/>
  <c r="G28" i="1"/>
  <c r="F28" i="1"/>
  <c r="J27" i="1"/>
  <c r="I27" i="1"/>
  <c r="H27" i="1"/>
  <c r="G27" i="1"/>
  <c r="F27" i="1"/>
  <c r="J26" i="1"/>
  <c r="I26" i="1"/>
  <c r="H26" i="1"/>
  <c r="G26" i="1"/>
  <c r="F26" i="1"/>
  <c r="J25" i="1"/>
  <c r="I25" i="1"/>
  <c r="H25" i="1"/>
  <c r="G25" i="1"/>
  <c r="F25" i="1"/>
  <c r="J24" i="1"/>
  <c r="I24" i="1"/>
  <c r="H24" i="1"/>
  <c r="G24" i="1"/>
  <c r="F24" i="1"/>
  <c r="J23" i="1"/>
  <c r="I23" i="1"/>
  <c r="H23" i="1"/>
  <c r="G23" i="1"/>
  <c r="F23" i="1"/>
  <c r="J22" i="1"/>
  <c r="I22" i="1"/>
  <c r="H22" i="1"/>
  <c r="G22" i="1"/>
  <c r="F22" i="1"/>
  <c r="J21" i="1"/>
  <c r="I21" i="1"/>
  <c r="H21" i="1"/>
  <c r="G21" i="1"/>
  <c r="F21" i="1"/>
  <c r="J20" i="1"/>
  <c r="I20" i="1"/>
  <c r="H20" i="1"/>
  <c r="G20" i="1"/>
  <c r="F20" i="1"/>
  <c r="J19" i="1"/>
  <c r="I19" i="1"/>
  <c r="H19" i="1"/>
  <c r="G19" i="1"/>
  <c r="F19" i="1"/>
  <c r="J18" i="1"/>
  <c r="I18" i="1"/>
  <c r="H18" i="1"/>
  <c r="G18" i="1"/>
  <c r="F18" i="1"/>
  <c r="J17" i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</calcChain>
</file>

<file path=xl/sharedStrings.xml><?xml version="1.0" encoding="utf-8"?>
<sst xmlns="http://schemas.openxmlformats.org/spreadsheetml/2006/main" count="268" uniqueCount="167">
  <si>
    <t xml:space="preserve">BIỂU KM VÀ GIÁ ÁP DỤNG CHO CÁC TUYẾN DU LỊCH TẠI MIỀN NAM </t>
  </si>
  <si>
    <t>(CÁC NGÀY LỄ, TẾT DƯƠNG LỊCH TĂNG  20% - TẾT ÂM LỊCH TĂNG 30%)</t>
  </si>
  <si>
    <t>ĐƠN GIÁ: VNĐ/KM ( No VAT - No highway fees )</t>
  </si>
  <si>
    <t>NO.</t>
  </si>
  <si>
    <t>ITINERARY</t>
  </si>
  <si>
    <t>Km
with SS</t>
  </si>
  <si>
    <t>Day</t>
  </si>
  <si>
    <t>Night</t>
  </si>
  <si>
    <t>7 Seater</t>
  </si>
  <si>
    <t>16 Seater</t>
  </si>
  <si>
    <t>29 Seater</t>
  </si>
  <si>
    <t>45 Seater</t>
  </si>
  <si>
    <t>Ford Transit</t>
  </si>
  <si>
    <t>Samco-Thaco</t>
  </si>
  <si>
    <t xml:space="preserve">Uni
</t>
  </si>
  <si>
    <t>4 hrs</t>
  </si>
  <si>
    <t>8 hrs</t>
  </si>
  <si>
    <t>6 hrs</t>
  </si>
  <si>
    <t>Củ Chi - 1/2City</t>
  </si>
  <si>
    <t>10 hrs</t>
  </si>
  <si>
    <t>SG - Củ Chi - Mộc Bài - SG</t>
  </si>
  <si>
    <t>1 day</t>
  </si>
  <si>
    <t>SG - Củ Chi - Tây Ninh - SG</t>
  </si>
  <si>
    <t>SG - Củ Chi - Tây Ninh - Mộc Bài - SG</t>
  </si>
  <si>
    <t>SG - Củ Chi - Tây Ninh - Dầu Tiếng - SG</t>
  </si>
  <si>
    <t>SG - Củ chi - Mỹ Tho -SG</t>
  </si>
  <si>
    <t>3D/2N</t>
  </si>
  <si>
    <t>SG - Bến Tre - Chợ Lách - SG</t>
  </si>
  <si>
    <t>2D/1N</t>
  </si>
  <si>
    <t>SG - Bến Tre - SG</t>
  </si>
  <si>
    <t>SG - Bến Tre - Cần thơ - SG</t>
  </si>
  <si>
    <t>SG - Bến Tre  - Cần thơ - SG</t>
  </si>
  <si>
    <t>SG - Bến Tre - Cần thơ - Sóc Trăng - Trần Đề ( out )</t>
  </si>
  <si>
    <t>SG - Bến Tre - Trà Vinh - Cần thơ - Rạch Gía ( out )</t>
  </si>
  <si>
    <t>4D/3N</t>
  </si>
  <si>
    <t>SG - Bến Tre - Cần Thơ - Châu đốc ( out )</t>
  </si>
  <si>
    <t>SG - Bến Tre - Cần Thơ - Châu đốc</t>
  </si>
  <si>
    <t>SG - Bến Tre- Chợ Lách- Sóc Trăng- Cần Thơ- Rạch giá ( out )</t>
  </si>
  <si>
    <t>SG - Bến Tre - Cần Thơ - Rạch Gía ( out ) - SG</t>
  </si>
  <si>
    <t>SG - Bến Tre - Cần Thơ - Trà sư - Châu Đốc - Rạch Giá</t>
  </si>
  <si>
    <t>SG - Bến Tre - Cần Thơ - Trà sư - Châu Đốc - Hà Tiên</t>
  </si>
  <si>
    <t>SG - Bến Tre - Trà Vinh - Cần Thơ - SG</t>
  </si>
  <si>
    <t>SG - Bảo Lộc - Dambri - SG</t>
  </si>
  <si>
    <t>SG - Buôn Mê Thuột ( 1 way )</t>
  </si>
  <si>
    <t>SG - Buôn Mê Thuột - Hồ Lăk/ Yordon - SG</t>
  </si>
  <si>
    <t>SG- Buôn Mê Thuột -Yordon/Hồ Lăk - Gia Lai- Kontum-SG</t>
  </si>
  <si>
    <t>SG - Cái Bè ( 1 way )</t>
  </si>
  <si>
    <t>SG - Cái Bè - Vĩnh Long - SG</t>
  </si>
  <si>
    <t>SG - Cái bè - Vĩnh Long - SG</t>
  </si>
  <si>
    <t>SG - Cái Bè - Vĩnh Long - Cần Thơ - SG</t>
  </si>
  <si>
    <t>SG - Cái Bè - Vĩnh Long - CầnThơ - Châu Đốc - Trà Sư - SG</t>
  </si>
  <si>
    <t>SG - Cái Bè - Vĩnh Long - Cần Thơ - Sóc Trăng - Châu Đốc - SG</t>
  </si>
  <si>
    <t>SG - Vũng Liêm - Cần Thơ - Rạch Gía</t>
  </si>
  <si>
    <t>SG - Cái Bè - Vĩnh Long - Châu đốc - Hà Tiên - Rạch Gía - SG</t>
  </si>
  <si>
    <t>SG - Cái Bè - Rạch Gía ( out )</t>
  </si>
  <si>
    <t>SG - Cái Bè - Chợ Lách -Long Xuyên - Châu Đốc ( out )</t>
  </si>
  <si>
    <t>SG - Cái Bè - Cần Thơ - Trà Sư - Châu Đốc ( out )</t>
  </si>
  <si>
    <t>SG - Cái Bè - Cần Thơ - Trà Sư - Châu Đốc - Rạch Giá ( out )</t>
  </si>
  <si>
    <t>SG - Cần Thơ ( 1 way )</t>
  </si>
  <si>
    <t>1day</t>
  </si>
  <si>
    <t>SG - Cần Thơ - Châu đốc - SG</t>
  </si>
  <si>
    <t>SG - Chợ Lách - Cần Thơ - Châu Đốc</t>
  </si>
  <si>
    <t>SG-Cần Thơ-Sóc Trăng-Bạc Liêu-Cà Mau-Đất Mũi -Hà tiên-SG</t>
  </si>
  <si>
    <t>5D/4N</t>
  </si>
  <si>
    <t>SG - Châu Đốc  (1 way)</t>
  </si>
  <si>
    <t>1D</t>
  </si>
  <si>
    <t>SG - Châu Đốc - SG</t>
  </si>
  <si>
    <t>SG - Châu Đốc - Trà Sư - Cần Thơ - SG</t>
  </si>
  <si>
    <t>SG - Châu đốc - Trà sư - Cần Thơ - Bến Tre - SG</t>
  </si>
  <si>
    <t>SG-Châu Đốc-Trà Sư-Hà Tiên-Cà Mau- Bạc Liêu-Sóc Trăng -Cthơ- SG</t>
  </si>
  <si>
    <t>7D/6N</t>
  </si>
  <si>
    <t>SG - Châu đốc - Núi Cấm - Trà Sư - Tịnh Biên - Mỹ Tho - SG</t>
  </si>
  <si>
    <t>SG - Châu Đốc - Cái bè - Rạch Gía ( out )</t>
  </si>
  <si>
    <t>SG - Sa Đéc - Long Xuyên - Châu Đốc - Hà Tiên - Cần Thơ</t>
  </si>
  <si>
    <r>
      <rPr>
        <b/>
        <sz val="10"/>
        <rFont val="Tahoma"/>
        <charset val="134"/>
      </rPr>
      <t xml:space="preserve">SG - Cà Mau - SG ( </t>
    </r>
    <r>
      <rPr>
        <sz val="10"/>
        <color rgb="FFFF0000"/>
        <rFont val="Tahoma"/>
        <charset val="134"/>
      </rPr>
      <t>Không bao gồm Đất Mũi</t>
    </r>
    <r>
      <rPr>
        <b/>
        <sz val="10"/>
        <color rgb="FFFF0000"/>
        <rFont val="Tahoma"/>
        <charset val="134"/>
      </rPr>
      <t xml:space="preserve"> </t>
    </r>
    <r>
      <rPr>
        <b/>
        <sz val="10"/>
        <rFont val="Tahoma"/>
        <charset val="134"/>
      </rPr>
      <t>)</t>
    </r>
  </si>
  <si>
    <t>SG - Cổ Thạch - Dinh Thầy Thím</t>
  </si>
  <si>
    <t>SG - Hà Tiên - Châu đốc - Trà Sư - Cần thơ - Bến Tre - SG</t>
  </si>
  <si>
    <t>SG - Đồng Tháp - Long Xuyên - Chợ Lách - Bến Tre - SG</t>
  </si>
  <si>
    <t>SG - Tây Ninh - SG</t>
  </si>
  <si>
    <t>SG - Trà Vinh - SG</t>
  </si>
  <si>
    <t>Tour Phú Mỹ (SG - Phú Mỹ - SG - City -  Phú Mỹ - SG)</t>
  </si>
  <si>
    <t>Tour Phú Mỹ ( SG - Phú Mỹ - SG - Củ Chi - Phú Mỹ -  SG )</t>
  </si>
  <si>
    <t>Tour Phú Mỹ ( SG - Phú Mỹ - SG - Mỹ Tho - Phú Mỹ -  SG )</t>
  </si>
  <si>
    <t>Tour Phú Mỹ (SG - Phú Mỹ - Vũng Tàu - Phú Mỹ - SG)</t>
  </si>
  <si>
    <t>SG - Mộc Bài ( 1 way )</t>
  </si>
  <si>
    <t>1 way</t>
  </si>
  <si>
    <t>SG - Mộc Bài - SG</t>
  </si>
  <si>
    <t>SG - Mỹ Tho - Trại Rắn - SG</t>
  </si>
  <si>
    <t>SG - Mỹ Tho/ Cái Bè - Cần Thơ - Sóc Trăng - SG</t>
  </si>
  <si>
    <t>SG - Mỹ Tho/ Cái Bè - Cần Thơ - Sa đéc/ Xẻo Quýt - SG</t>
  </si>
  <si>
    <t>SG - Mỹ Tho - Chợ Lách - Vĩnh Long - Cần Thơ - Sa đéc - SG</t>
  </si>
  <si>
    <t>SG - Mỹ Tho/ Cái Bè - Vĩnh Long - Cần Thơ - SG</t>
  </si>
  <si>
    <t xml:space="preserve">SG - Mỹ Tho/ Cái Bè - Vĩnh long - Cần Thơ - Châu Đốc (out) </t>
  </si>
  <si>
    <t xml:space="preserve">SG - Mỹ Tho/ Cái Bè - Vĩnh long - Cần Thơ - Châu Đốc - Rạch Gía (out) </t>
  </si>
  <si>
    <t xml:space="preserve">SG - Mỹ Tho/ Cái Bè - Châu Đốc (out) </t>
  </si>
  <si>
    <t>SG -Mỹ Tho - Cần Thơ - Châu Đốc -Hà Tiên - Cần thơ ( out )</t>
  </si>
  <si>
    <t>SG -Mỹ Tho -Rạch Gía -Cà Mau -Bạc Liêu -Sóc Trăng -Cần Thơ -SG</t>
  </si>
  <si>
    <t>SG - Mũi Né - SG</t>
  </si>
  <si>
    <t>SG - Mũi Né ( 1 way )</t>
  </si>
  <si>
    <t>SG - Mũi né - Nha Trang ( 1 way )</t>
  </si>
  <si>
    <t>Airport - Mũi Né ( 1 way )</t>
  </si>
  <si>
    <t>Mũi Né - Airport ( 1 way )</t>
  </si>
  <si>
    <t>SG - Nam Cát Tiên - SG</t>
  </si>
  <si>
    <t>SG - Nam Cát Tiên  - Đà Lạt - SG</t>
  </si>
  <si>
    <t xml:space="preserve">SG - Nam Cát Tiên - Đà lạt - Mũi né </t>
  </si>
  <si>
    <t>SG - Nha Trang - Mũi Né - Vũng Tàu - SG</t>
  </si>
  <si>
    <t>SG - Nha Trang - SG (1 way)</t>
  </si>
  <si>
    <t>SG - Nha Trang - SG</t>
  </si>
  <si>
    <t>SG - Nha Trang - Quy Nhơn - Hội An - Đà Nẵng - Huế - SG</t>
  </si>
  <si>
    <t>SG -Nha Trang -Quy Nhơn -Hội An -Mỹ Sơn -Đà Nẵng -Huế -SG</t>
  </si>
  <si>
    <t>8D/7N</t>
  </si>
  <si>
    <t>SG - Sóc Trăng - SG</t>
  </si>
  <si>
    <t>SG - Hà Tiên - Châu Đốc ( out ) - SG</t>
  </si>
  <si>
    <t>SG - Rạch Giá (1 way)</t>
  </si>
  <si>
    <t>SG - Rạch Giá - Cần Thơ - Sóc Trăng - Cái Bè - SG</t>
  </si>
  <si>
    <t>SG - Golf Sông Bé/Golf Twin Doves</t>
  </si>
  <si>
    <t>SG - Golf Long Thành/Golf Đồng Nai</t>
  </si>
  <si>
    <t>SG - Golf Thủ Đức/Golf Tân Sơn Nhất</t>
  </si>
  <si>
    <t>SG - Vũng Liêm - Cần Thơ - SG</t>
  </si>
  <si>
    <t>3d/2N</t>
  </si>
  <si>
    <t>SG - Mỹ Tho - Vũng Liêm - SG</t>
  </si>
  <si>
    <t>SG - Vũng Tàu/ Long Hải - SG</t>
  </si>
  <si>
    <t>SG - Hồ Tràm/ Bình Châu - SG</t>
  </si>
  <si>
    <t>SG - Phan Rang - SG</t>
  </si>
  <si>
    <t>SG - Phan Rang - Ninh Chữ - Vĩnh Hy - SG</t>
  </si>
  <si>
    <t>SG -Đà Lạt -BMT - G.lai/ K.Tum/ Q.Ngãi -Hội An -Đà Nẵng -Huế</t>
  </si>
  <si>
    <t>9D/8N</t>
  </si>
  <si>
    <t>SG - Đà lạt (1 way)</t>
  </si>
  <si>
    <t>SG - Đà lạt - Dambri/ Lat - SG</t>
  </si>
  <si>
    <t xml:space="preserve">SG - Đà lạt - Nam cát tiên - Mũi né </t>
  </si>
  <si>
    <t>SG - Đà lạt - Nha Trang - SG</t>
  </si>
  <si>
    <t>SG - Đà lạt - Mũi né - SG</t>
  </si>
  <si>
    <t>SG - Đà lạt - Nha Trang - Phan Thiết - SG</t>
  </si>
  <si>
    <t>SG - Đà lạt - Nha Trang - Phan Rang - Phan Thiết - SG</t>
  </si>
  <si>
    <t>SG -Đà lạt -Nha Trang -Quy Nhơn -Hội An -Đà Nẵng -Huế -SG</t>
  </si>
  <si>
    <t>SG -Đà lạt -N.Trang -Quy Nhơn -Hội An -Mỹ Sơn -Đ.Nẵng -Huế- SG</t>
  </si>
  <si>
    <t>SG - Đà lạt - Nha Trang - Quy Nhơn - Hội An - Đà Nẵng - Huế - SG</t>
  </si>
  <si>
    <t>12D/11N</t>
  </si>
  <si>
    <t>SG - Quy Nhơn - Nha Trang - Đà lạt - SG</t>
  </si>
  <si>
    <t>SG - Quy Nhơn - Nha Trang - Đà lạt - Phan Thiết - SG</t>
  </si>
  <si>
    <t>Extra night free at leisure: calculate 1 night +100 km</t>
  </si>
  <si>
    <r>
      <rPr>
        <b/>
        <sz val="11"/>
        <color indexed="10"/>
        <rFont val="Calibri"/>
        <charset val="134"/>
      </rPr>
      <t xml:space="preserve">NOTES:  </t>
    </r>
    <r>
      <rPr>
        <sz val="11"/>
        <color theme="1"/>
        <rFont val="Calibri"/>
        <charset val="134"/>
        <scheme val="minor"/>
      </rPr>
      <t xml:space="preserve">       </t>
    </r>
  </si>
  <si>
    <t xml:space="preserve">1. Prices above included costs for the ferry, eat sleep driving         </t>
  </si>
  <si>
    <t xml:space="preserve">2. Price applies in the conditions rising of petroleum does not exceed 5% of the market price in the time of quotation.         </t>
  </si>
  <si>
    <t xml:space="preserve">3. Prices above is not included tax         </t>
  </si>
  <si>
    <t xml:space="preserve">4.The price above is only for inbound market, pick-up in city center         </t>
  </si>
  <si>
    <t xml:space="preserve">5. The following cases will plus 1 night:         </t>
  </si>
  <si>
    <t xml:space="preserve">5.1 Pick up in Phan Thiet before 9:00am, Pick up from HCM City to Phan Thiet after 15:00pm         </t>
  </si>
  <si>
    <t xml:space="preserve">5.2 Pick up from HCM City to Chau Doc (1 way) after 10:00am , Tranfer is used or not in the prvinces for 1 day plus 100km         </t>
  </si>
  <si>
    <t xml:space="preserve"> </t>
  </si>
  <si>
    <t>BẢNG GIÁ XE ÁP DỤNG  ĐẾN NGÀY 31/12/2026</t>
  </si>
  <si>
    <t>18/19 Seater</t>
  </si>
  <si>
    <t xml:space="preserve">Pick up/ See off </t>
  </si>
  <si>
    <t xml:space="preserve">Dinner </t>
  </si>
  <si>
    <t>Dinner Bình Quới/ Tàu</t>
  </si>
  <si>
    <t>Halfday City</t>
  </si>
  <si>
    <t xml:space="preserve">Full day City </t>
  </si>
  <si>
    <t xml:space="preserve">SG - Củ Chi - SG </t>
  </si>
  <si>
    <t xml:space="preserve">SG - Củ Chi - Ăn trưa - SG </t>
  </si>
  <si>
    <t xml:space="preserve">SG - Cần Giờ - SG </t>
  </si>
  <si>
    <t>SG - Cái Bè - Vĩnh Long - Cần Thơ -  SG</t>
  </si>
  <si>
    <t>SG - Mỹ Tho / Cái bè - Trà Vinh - Cần Thơ - Sa Đéc - SG</t>
  </si>
  <si>
    <t xml:space="preserve">SG - Mỹ Tho - SG </t>
  </si>
  <si>
    <t>Huyndai, Kia, Ford, Toyota</t>
  </si>
  <si>
    <t>Ford, Iveco</t>
  </si>
  <si>
    <t xml:space="preserve">NOT INCLUDING HIGHWAY FEES, VAT </t>
  </si>
  <si>
    <t xml:space="preserve">Extra night free for time pick up 9pm- 5am : 100.000 vnd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</si>
</sst>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9" tint="-0.249977111117893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0"/>
      <name val="Tahoma"/>
      <charset val="134"/>
    </font>
    <font>
      <sz val="10"/>
      <name val="Tahoma"/>
      <charset val="134"/>
    </font>
    <font>
      <sz val="10"/>
      <color rgb="FF000000"/>
      <name val="Tahoma"/>
      <charset val="134"/>
    </font>
    <font>
      <sz val="10"/>
      <color theme="1"/>
      <name val="Calibri"/>
      <charset val="134"/>
      <scheme val="minor"/>
    </font>
    <font>
      <b/>
      <sz val="28"/>
      <name val="Tahoma"/>
      <charset val="134"/>
    </font>
    <font>
      <sz val="9"/>
      <color rgb="FF000000"/>
      <name val="Tahoma"/>
      <charset val="134"/>
    </font>
    <font>
      <sz val="10"/>
      <color rgb="FFFF0000"/>
      <name val="Tahoma"/>
      <charset val="134"/>
    </font>
    <font>
      <b/>
      <sz val="10"/>
      <color rgb="FFFF0000"/>
      <name val="Tahoma"/>
      <charset val="134"/>
    </font>
    <font>
      <b/>
      <sz val="11"/>
      <color indexed="10"/>
      <name val="Calibri"/>
      <charset val="134"/>
    </font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108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1" applyNumberFormat="1" applyFont="1"/>
    <xf numFmtId="164" fontId="0" fillId="0" borderId="1" xfId="1" applyNumberFormat="1" applyFont="1" applyBorder="1"/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8" fillId="4" borderId="1" xfId="1" applyNumberFormat="1" applyFont="1" applyFill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4" fontId="9" fillId="0" borderId="5" xfId="1" applyNumberFormat="1" applyFont="1" applyFill="1" applyBorder="1" applyAlignment="1">
      <alignment horizontal="right" vertical="center" wrapText="1"/>
    </xf>
    <xf numFmtId="164" fontId="9" fillId="0" borderId="7" xfId="1" applyNumberFormat="1" applyFont="1" applyFill="1" applyBorder="1" applyAlignment="1">
      <alignment vertical="top" wrapText="1"/>
    </xf>
    <xf numFmtId="164" fontId="9" fillId="0" borderId="1" xfId="1" applyNumberFormat="1" applyFont="1" applyFill="1" applyBorder="1" applyAlignment="1">
      <alignment horizontal="right" vertical="top" wrapText="1"/>
    </xf>
    <xf numFmtId="0" fontId="8" fillId="3" borderId="1" xfId="0" applyFont="1" applyFill="1" applyBorder="1" applyAlignment="1">
      <alignment vertical="center"/>
    </xf>
    <xf numFmtId="1" fontId="9" fillId="3" borderId="1" xfId="1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164" fontId="9" fillId="6" borderId="1" xfId="1" applyNumberFormat="1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1" fontId="9" fillId="5" borderId="1" xfId="1" applyNumberFormat="1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164" fontId="9" fillId="5" borderId="1" xfId="1" applyNumberFormat="1" applyFont="1" applyFill="1" applyBorder="1" applyAlignment="1">
      <alignment vertical="center"/>
    </xf>
    <xf numFmtId="164" fontId="10" fillId="5" borderId="8" xfId="1" applyNumberFormat="1" applyFont="1" applyFill="1" applyBorder="1" applyAlignment="1">
      <alignment vertical="top" wrapText="1"/>
    </xf>
    <xf numFmtId="164" fontId="10" fillId="5" borderId="1" xfId="1" applyNumberFormat="1" applyFont="1" applyFill="1" applyBorder="1" applyAlignment="1">
      <alignment horizontal="right" vertical="top" wrapText="1"/>
    </xf>
    <xf numFmtId="164" fontId="10" fillId="0" borderId="8" xfId="1" applyNumberFormat="1" applyFont="1" applyFill="1" applyBorder="1" applyAlignment="1">
      <alignment vertical="top" wrapText="1"/>
    </xf>
    <xf numFmtId="164" fontId="10" fillId="0" borderId="1" xfId="1" applyNumberFormat="1" applyFont="1" applyFill="1" applyBorder="1" applyAlignment="1">
      <alignment horizontal="right" vertical="top" wrapText="1"/>
    </xf>
    <xf numFmtId="164" fontId="9" fillId="6" borderId="4" xfId="1" applyNumberFormat="1" applyFont="1" applyFill="1" applyBorder="1" applyAlignment="1">
      <alignment vertical="center"/>
    </xf>
    <xf numFmtId="164" fontId="10" fillId="0" borderId="9" xfId="1" applyNumberFormat="1" applyFont="1" applyFill="1" applyBorder="1" applyAlignment="1">
      <alignment vertical="top" wrapText="1"/>
    </xf>
    <xf numFmtId="0" fontId="8" fillId="6" borderId="1" xfId="0" applyFont="1" applyFill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164" fontId="9" fillId="5" borderId="4" xfId="1" applyNumberFormat="1" applyFont="1" applyFill="1" applyBorder="1" applyAlignment="1">
      <alignment vertical="center"/>
    </xf>
    <xf numFmtId="0" fontId="9" fillId="5" borderId="4" xfId="1" applyNumberFormat="1" applyFont="1" applyFill="1" applyBorder="1" applyAlignment="1">
      <alignment horizontal="center" vertical="center"/>
    </xf>
    <xf numFmtId="164" fontId="2" fillId="0" borderId="1" xfId="1" applyNumberFormat="1" applyFont="1" applyBorder="1"/>
    <xf numFmtId="164" fontId="2" fillId="5" borderId="1" xfId="1" applyNumberFormat="1" applyFont="1" applyFill="1" applyBorder="1"/>
    <xf numFmtId="164" fontId="0" fillId="5" borderId="1" xfId="1" applyNumberFormat="1" applyFont="1" applyFill="1" applyBorder="1"/>
    <xf numFmtId="164" fontId="10" fillId="5" borderId="1" xfId="1" applyNumberFormat="1" applyFont="1" applyFill="1" applyBorder="1" applyAlignment="1">
      <alignment vertical="top" wrapText="1"/>
    </xf>
    <xf numFmtId="164" fontId="10" fillId="0" borderId="1" xfId="1" applyNumberFormat="1" applyFont="1" applyFill="1" applyBorder="1" applyAlignment="1">
      <alignment vertical="top" wrapText="1"/>
    </xf>
    <xf numFmtId="164" fontId="11" fillId="5" borderId="1" xfId="1" applyNumberFormat="1" applyFont="1" applyFill="1" applyBorder="1"/>
    <xf numFmtId="0" fontId="8" fillId="0" borderId="1" xfId="0" applyFont="1" applyFill="1" applyBorder="1" applyAlignment="1">
      <alignment vertical="center"/>
    </xf>
    <xf numFmtId="0" fontId="9" fillId="7" borderId="6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/>
    </xf>
    <xf numFmtId="1" fontId="9" fillId="7" borderId="1" xfId="1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horizontal="center" vertical="center"/>
    </xf>
    <xf numFmtId="164" fontId="0" fillId="7" borderId="1" xfId="1" applyNumberFormat="1" applyFont="1" applyFill="1" applyBorder="1"/>
    <xf numFmtId="164" fontId="0" fillId="0" borderId="11" xfId="1" applyNumberFormat="1" applyFont="1" applyBorder="1"/>
    <xf numFmtId="164" fontId="7" fillId="0" borderId="2" xfId="1" applyNumberFormat="1" applyFont="1" applyBorder="1" applyAlignment="1">
      <alignment horizontal="center" vertical="center"/>
    </xf>
    <xf numFmtId="164" fontId="7" fillId="0" borderId="1" xfId="1" applyNumberFormat="1" applyFont="1" applyBorder="1"/>
    <xf numFmtId="0" fontId="0" fillId="0" borderId="0" xfId="0" applyBorder="1"/>
    <xf numFmtId="3" fontId="12" fillId="0" borderId="0" xfId="0" applyNumberFormat="1" applyFont="1" applyFill="1" applyBorder="1" applyAlignment="1">
      <alignment horizontal="center" vertical="center" wrapText="1"/>
    </xf>
    <xf numFmtId="164" fontId="9" fillId="0" borderId="1" xfId="1" applyNumberFormat="1" applyFont="1" applyFill="1" applyBorder="1" applyAlignment="1">
      <alignment vertical="top" wrapText="1"/>
    </xf>
    <xf numFmtId="3" fontId="13" fillId="0" borderId="0" xfId="0" applyNumberFormat="1" applyFont="1" applyFill="1" applyBorder="1" applyAlignment="1">
      <alignment vertical="top" wrapText="1"/>
    </xf>
    <xf numFmtId="164" fontId="0" fillId="0" borderId="0" xfId="0" applyNumberFormat="1"/>
    <xf numFmtId="164" fontId="9" fillId="6" borderId="6" xfId="1" applyNumberFormat="1" applyFont="1" applyFill="1" applyBorder="1" applyAlignment="1">
      <alignment vertical="center"/>
    </xf>
    <xf numFmtId="164" fontId="9" fillId="0" borderId="10" xfId="1" applyNumberFormat="1" applyFont="1" applyFill="1" applyBorder="1" applyAlignment="1">
      <alignment vertical="center"/>
    </xf>
    <xf numFmtId="164" fontId="0" fillId="0" borderId="1" xfId="1" applyNumberFormat="1" applyFont="1" applyBorder="1" applyAlignment="1"/>
    <xf numFmtId="3" fontId="13" fillId="0" borderId="0" xfId="0" applyNumberFormat="1" applyFont="1" applyFill="1" applyAlignment="1">
      <alignment vertical="top" wrapText="1"/>
    </xf>
    <xf numFmtId="0" fontId="9" fillId="3" borderId="1" xfId="0" applyFont="1" applyFill="1" applyBorder="1" applyAlignment="1">
      <alignment horizontal="center" vertical="center" wrapText="1"/>
    </xf>
    <xf numFmtId="1" fontId="9" fillId="3" borderId="4" xfId="1" applyNumberFormat="1" applyFont="1" applyFill="1" applyBorder="1" applyAlignment="1">
      <alignment vertical="center"/>
    </xf>
    <xf numFmtId="164" fontId="0" fillId="0" borderId="4" xfId="1" applyNumberFormat="1" applyFont="1" applyBorder="1"/>
    <xf numFmtId="0" fontId="0" fillId="0" borderId="1" xfId="0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9" borderId="6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/>
    </xf>
    <xf numFmtId="1" fontId="9" fillId="9" borderId="1" xfId="1" applyNumberFormat="1" applyFont="1" applyFill="1" applyBorder="1" applyAlignment="1">
      <alignment vertical="center"/>
    </xf>
    <xf numFmtId="0" fontId="9" fillId="9" borderId="1" xfId="0" applyFont="1" applyFill="1" applyBorder="1" applyAlignment="1">
      <alignment horizontal="center" vertical="center"/>
    </xf>
    <xf numFmtId="164" fontId="0" fillId="9" borderId="1" xfId="1" applyNumberFormat="1" applyFont="1" applyFill="1" applyBorder="1"/>
    <xf numFmtId="0" fontId="9" fillId="9" borderId="1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vertical="center"/>
    </xf>
    <xf numFmtId="1" fontId="9" fillId="9" borderId="5" xfId="1" applyNumberFormat="1" applyFont="1" applyFill="1" applyBorder="1" applyAlignment="1">
      <alignment vertical="center"/>
    </xf>
    <xf numFmtId="0" fontId="9" fillId="9" borderId="5" xfId="0" applyFont="1" applyFill="1" applyBorder="1" applyAlignment="1">
      <alignment horizontal="center" vertical="center"/>
    </xf>
    <xf numFmtId="164" fontId="0" fillId="9" borderId="5" xfId="1" applyNumberFormat="1" applyFont="1" applyFill="1" applyBorder="1"/>
    <xf numFmtId="0" fontId="8" fillId="10" borderId="1" xfId="0" applyFont="1" applyFill="1" applyBorder="1" applyAlignment="1">
      <alignment vertical="center"/>
    </xf>
    <xf numFmtId="1" fontId="9" fillId="10" borderId="1" xfId="1" applyNumberFormat="1" applyFont="1" applyFill="1" applyBorder="1" applyAlignment="1">
      <alignment vertical="center"/>
    </xf>
    <xf numFmtId="0" fontId="9" fillId="10" borderId="1" xfId="0" applyFont="1" applyFill="1" applyBorder="1" applyAlignment="1">
      <alignment horizontal="center" vertical="center"/>
    </xf>
    <xf numFmtId="164" fontId="0" fillId="10" borderId="1" xfId="1" applyNumberFormat="1" applyFont="1" applyFill="1" applyBorder="1"/>
    <xf numFmtId="0" fontId="9" fillId="3" borderId="12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1" fontId="9" fillId="6" borderId="1" xfId="1" applyNumberFormat="1" applyFont="1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164" fontId="10" fillId="6" borderId="8" xfId="1" applyNumberFormat="1" applyFont="1" applyFill="1" applyBorder="1" applyAlignment="1">
      <alignment vertical="top" wrapText="1"/>
    </xf>
    <xf numFmtId="164" fontId="10" fillId="6" borderId="1" xfId="1" applyNumberFormat="1" applyFont="1" applyFill="1" applyBorder="1" applyAlignment="1">
      <alignment horizontal="right" vertical="top" wrapText="1"/>
    </xf>
    <xf numFmtId="164" fontId="9" fillId="6" borderId="1" xfId="1" applyNumberFormat="1" applyFont="1" applyFill="1" applyBorder="1" applyAlignment="1"/>
    <xf numFmtId="164" fontId="10" fillId="6" borderId="8" xfId="1" applyNumberFormat="1" applyFont="1" applyFill="1" applyBorder="1" applyAlignment="1">
      <alignment wrapText="1"/>
    </xf>
    <xf numFmtId="164" fontId="9" fillId="6" borderId="5" xfId="1" applyNumberFormat="1" applyFont="1" applyFill="1" applyBorder="1" applyAlignment="1">
      <alignment vertical="center"/>
    </xf>
    <xf numFmtId="164" fontId="0" fillId="6" borderId="5" xfId="1" applyNumberFormat="1" applyFont="1" applyFill="1" applyBorder="1" applyAlignment="1"/>
    <xf numFmtId="0" fontId="18" fillId="0" borderId="0" xfId="0" applyFont="1"/>
    <xf numFmtId="0" fontId="19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164" fontId="3" fillId="0" borderId="11" xfId="1" applyNumberFormat="1" applyFont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164" fontId="6" fillId="8" borderId="3" xfId="1" applyNumberFormat="1" applyFont="1" applyFill="1" applyBorder="1" applyAlignment="1">
      <alignment horizontal="center" vertical="center"/>
    </xf>
    <xf numFmtId="164" fontId="6" fillId="8" borderId="11" xfId="1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1" fontId="8" fillId="3" borderId="4" xfId="0" applyNumberFormat="1" applyFont="1" applyFill="1" applyBorder="1" applyAlignment="1">
      <alignment horizontal="center" vertical="center" wrapText="1"/>
    </xf>
    <xf numFmtId="1" fontId="8" fillId="3" borderId="5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0</xdr:row>
      <xdr:rowOff>6350</xdr:rowOff>
    </xdr:from>
    <xdr:to>
      <xdr:col>9</xdr:col>
      <xdr:colOff>781685</xdr:colOff>
      <xdr:row>0</xdr:row>
      <xdr:rowOff>2125345</xdr:rowOff>
    </xdr:to>
    <xdr:pic>
      <xdr:nvPicPr>
        <xdr:cNvPr id="2" name="Picture 1" descr="LOGO DT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50" y="6350"/>
          <a:ext cx="9865360" cy="2118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3"/>
  <sheetViews>
    <sheetView tabSelected="1" topLeftCell="A4" workbookViewId="0">
      <selection activeCell="A3" sqref="A3:J6"/>
    </sheetView>
  </sheetViews>
  <sheetFormatPr defaultColWidth="9" defaultRowHeight="14.5"/>
  <cols>
    <col min="1" max="1" width="4.1796875" customWidth="1"/>
    <col min="2" max="2" width="64.81640625" customWidth="1"/>
    <col min="3" max="3" width="5.1796875" customWidth="1"/>
    <col min="4" max="4" width="8" customWidth="1"/>
    <col min="5" max="5" width="6" style="4" customWidth="1"/>
    <col min="6" max="6" width="12.26953125" style="5" customWidth="1"/>
    <col min="7" max="7" width="12" style="5" customWidth="1"/>
    <col min="8" max="8" width="12.7265625" style="5" customWidth="1"/>
    <col min="9" max="9" width="12.1796875" style="5" customWidth="1"/>
    <col min="10" max="10" width="12.453125" style="6" customWidth="1"/>
  </cols>
  <sheetData>
    <row r="1" spans="1:15" ht="171.75" customHeight="1">
      <c r="J1" s="51"/>
    </row>
    <row r="2" spans="1:15" ht="28.5" customHeight="1">
      <c r="A2" s="96" t="s">
        <v>0</v>
      </c>
      <c r="B2" s="97"/>
      <c r="C2" s="97"/>
      <c r="D2" s="97"/>
      <c r="E2" s="97"/>
      <c r="F2" s="98"/>
      <c r="G2" s="98"/>
      <c r="H2" s="98"/>
      <c r="I2" s="98"/>
      <c r="J2" s="99"/>
    </row>
    <row r="3" spans="1:15" ht="18" customHeight="1">
      <c r="A3" s="7"/>
      <c r="B3" s="8" t="s">
        <v>150</v>
      </c>
      <c r="C3" s="100" t="s">
        <v>1</v>
      </c>
      <c r="D3" s="101"/>
      <c r="E3" s="101"/>
      <c r="F3" s="102"/>
      <c r="G3" s="102"/>
      <c r="H3" s="102"/>
      <c r="I3" s="102"/>
      <c r="J3" s="103"/>
    </row>
    <row r="4" spans="1:15" s="1" customFormat="1" ht="14.25" customHeight="1">
      <c r="A4" s="9"/>
      <c r="B4" s="9" t="s">
        <v>2</v>
      </c>
      <c r="C4" s="9"/>
      <c r="D4" s="9"/>
      <c r="E4" s="9"/>
      <c r="F4" s="10">
        <v>6500</v>
      </c>
      <c r="G4" s="10">
        <v>7500</v>
      </c>
      <c r="H4" s="10">
        <v>9500</v>
      </c>
      <c r="I4" s="52">
        <v>13500</v>
      </c>
      <c r="J4" s="53">
        <v>15500</v>
      </c>
    </row>
    <row r="5" spans="1:15" ht="22.5" customHeight="1">
      <c r="A5" s="104" t="s">
        <v>3</v>
      </c>
      <c r="B5" s="104" t="s">
        <v>4</v>
      </c>
      <c r="C5" s="106" t="s">
        <v>5</v>
      </c>
      <c r="D5" s="104" t="s">
        <v>6</v>
      </c>
      <c r="E5" s="104" t="s">
        <v>7</v>
      </c>
      <c r="F5" s="11" t="s">
        <v>8</v>
      </c>
      <c r="G5" s="11" t="s">
        <v>9</v>
      </c>
      <c r="H5" s="11" t="s">
        <v>151</v>
      </c>
      <c r="I5" s="11" t="s">
        <v>10</v>
      </c>
      <c r="J5" s="11" t="s">
        <v>11</v>
      </c>
    </row>
    <row r="6" spans="1:15" ht="48.75" customHeight="1">
      <c r="A6" s="105"/>
      <c r="B6" s="105"/>
      <c r="C6" s="107"/>
      <c r="D6" s="105"/>
      <c r="E6" s="105"/>
      <c r="F6" s="12" t="s">
        <v>163</v>
      </c>
      <c r="G6" s="12" t="s">
        <v>12</v>
      </c>
      <c r="H6" s="12" t="s">
        <v>164</v>
      </c>
      <c r="I6" s="12" t="s">
        <v>13</v>
      </c>
      <c r="J6" s="12" t="s">
        <v>14</v>
      </c>
      <c r="K6" s="54"/>
      <c r="L6" s="55"/>
    </row>
    <row r="7" spans="1:15">
      <c r="A7" s="14">
        <v>1</v>
      </c>
      <c r="B7" s="15" t="s">
        <v>152</v>
      </c>
      <c r="C7" s="16"/>
      <c r="D7" s="17"/>
      <c r="E7" s="17"/>
      <c r="F7" s="18">
        <v>350000</v>
      </c>
      <c r="G7" s="19">
        <v>600000</v>
      </c>
      <c r="H7" s="20">
        <v>800000</v>
      </c>
      <c r="I7" s="20">
        <v>1200000</v>
      </c>
      <c r="J7" s="56">
        <v>1500000</v>
      </c>
    </row>
    <row r="8" spans="1:15">
      <c r="A8" s="13">
        <v>2</v>
      </c>
      <c r="B8" s="25" t="s">
        <v>153</v>
      </c>
      <c r="C8" s="26"/>
      <c r="D8" s="27"/>
      <c r="E8" s="27">
        <v>0</v>
      </c>
      <c r="F8" s="28">
        <v>250000</v>
      </c>
      <c r="G8" s="29">
        <v>300000</v>
      </c>
      <c r="H8" s="30">
        <v>400000</v>
      </c>
      <c r="I8" s="30">
        <v>600000</v>
      </c>
      <c r="J8" s="42">
        <v>700000</v>
      </c>
    </row>
    <row r="9" spans="1:15">
      <c r="A9" s="14">
        <v>3</v>
      </c>
      <c r="B9" s="21" t="s">
        <v>154</v>
      </c>
      <c r="C9" s="22"/>
      <c r="D9" s="23"/>
      <c r="E9" s="23">
        <v>0</v>
      </c>
      <c r="F9" s="24">
        <v>450000</v>
      </c>
      <c r="G9" s="31">
        <v>500000</v>
      </c>
      <c r="H9" s="32">
        <v>600000</v>
      </c>
      <c r="I9" s="32">
        <v>8000000</v>
      </c>
      <c r="J9" s="43">
        <v>1000000</v>
      </c>
      <c r="O9" s="54"/>
    </row>
    <row r="10" spans="1:15">
      <c r="A10" s="13">
        <v>4</v>
      </c>
      <c r="B10" s="25" t="s">
        <v>155</v>
      </c>
      <c r="C10" s="26"/>
      <c r="D10" s="27" t="s">
        <v>15</v>
      </c>
      <c r="E10" s="27">
        <v>0</v>
      </c>
      <c r="F10" s="28">
        <v>900000</v>
      </c>
      <c r="G10" s="29">
        <v>1200000</v>
      </c>
      <c r="H10" s="30">
        <v>1450000</v>
      </c>
      <c r="I10" s="30">
        <v>1700000</v>
      </c>
      <c r="J10" s="42">
        <v>2000000</v>
      </c>
      <c r="O10" s="57"/>
    </row>
    <row r="11" spans="1:15">
      <c r="A11" s="85">
        <v>5</v>
      </c>
      <c r="B11" s="35" t="s">
        <v>156</v>
      </c>
      <c r="C11" s="86"/>
      <c r="D11" s="87" t="s">
        <v>16</v>
      </c>
      <c r="E11" s="87">
        <v>0</v>
      </c>
      <c r="F11" s="24">
        <v>1400000</v>
      </c>
      <c r="G11" s="88">
        <v>1600000</v>
      </c>
      <c r="H11" s="89">
        <v>1900000</v>
      </c>
      <c r="I11" s="24">
        <v>3000000</v>
      </c>
      <c r="J11" s="24">
        <v>3500000</v>
      </c>
      <c r="K11" s="58"/>
      <c r="O11" s="57"/>
    </row>
    <row r="12" spans="1:15">
      <c r="A12" s="85">
        <v>6</v>
      </c>
      <c r="B12" s="35" t="s">
        <v>157</v>
      </c>
      <c r="C12" s="86"/>
      <c r="D12" s="87" t="s">
        <v>17</v>
      </c>
      <c r="E12" s="87">
        <v>0</v>
      </c>
      <c r="F12" s="90">
        <v>1200000</v>
      </c>
      <c r="G12" s="91">
        <v>1400000</v>
      </c>
      <c r="H12" s="92">
        <v>1700000</v>
      </c>
      <c r="I12" s="59">
        <v>2500000</v>
      </c>
      <c r="J12" s="93">
        <v>3000000</v>
      </c>
      <c r="O12" s="57"/>
    </row>
    <row r="13" spans="1:15">
      <c r="A13" s="14">
        <v>7</v>
      </c>
      <c r="B13" s="21" t="s">
        <v>158</v>
      </c>
      <c r="C13" s="22"/>
      <c r="D13" s="23" t="s">
        <v>16</v>
      </c>
      <c r="E13" s="23">
        <v>0</v>
      </c>
      <c r="F13" s="33">
        <v>1450000</v>
      </c>
      <c r="G13" s="34">
        <v>1700000</v>
      </c>
      <c r="H13" s="33">
        <v>2100000</v>
      </c>
      <c r="I13" s="60">
        <v>3300000</v>
      </c>
      <c r="J13" s="61">
        <v>4200000</v>
      </c>
      <c r="O13" s="57"/>
    </row>
    <row r="14" spans="1:15" s="2" customFormat="1">
      <c r="A14" s="13">
        <v>8</v>
      </c>
      <c r="B14" s="25" t="s">
        <v>18</v>
      </c>
      <c r="C14" s="26"/>
      <c r="D14" s="37" t="s">
        <v>19</v>
      </c>
      <c r="E14" s="38">
        <v>0</v>
      </c>
      <c r="F14" s="37">
        <v>1850000</v>
      </c>
      <c r="G14" s="37">
        <v>2000000</v>
      </c>
      <c r="H14" s="37">
        <v>2800000</v>
      </c>
      <c r="I14" s="37">
        <v>3900000</v>
      </c>
      <c r="J14" s="37">
        <v>4500000</v>
      </c>
      <c r="O14" s="62"/>
    </row>
    <row r="15" spans="1:15" s="3" customFormat="1">
      <c r="A15" s="14">
        <v>9</v>
      </c>
      <c r="B15" s="21" t="s">
        <v>20</v>
      </c>
      <c r="C15" s="22">
        <v>300</v>
      </c>
      <c r="D15" s="23" t="s">
        <v>21</v>
      </c>
      <c r="E15" s="23">
        <v>0</v>
      </c>
      <c r="F15" s="39">
        <f>C15*F4</f>
        <v>1950000</v>
      </c>
      <c r="G15" s="39">
        <f>C15*G4</f>
        <v>2250000</v>
      </c>
      <c r="H15" s="39">
        <f>C15*H4</f>
        <v>2850000</v>
      </c>
      <c r="I15" s="39">
        <f>C15*I4</f>
        <v>4050000</v>
      </c>
      <c r="J15" s="39">
        <f>C15*J4</f>
        <v>4650000</v>
      </c>
    </row>
    <row r="16" spans="1:15">
      <c r="A16" s="13">
        <v>10</v>
      </c>
      <c r="B16" s="25" t="s">
        <v>22</v>
      </c>
      <c r="C16" s="26">
        <v>300</v>
      </c>
      <c r="D16" s="27" t="s">
        <v>21</v>
      </c>
      <c r="E16" s="27">
        <v>0</v>
      </c>
      <c r="F16" s="40">
        <f>C16*F4</f>
        <v>1950000</v>
      </c>
      <c r="G16" s="41">
        <f>C16*G4</f>
        <v>2250000</v>
      </c>
      <c r="H16" s="42">
        <f>C16*H4</f>
        <v>2850000</v>
      </c>
      <c r="I16" s="41">
        <f>C16*I4</f>
        <v>4050000</v>
      </c>
      <c r="J16" s="41">
        <f>C16*J4</f>
        <v>4650000</v>
      </c>
    </row>
    <row r="17" spans="1:10">
      <c r="A17" s="14">
        <v>11</v>
      </c>
      <c r="B17" s="21" t="s">
        <v>23</v>
      </c>
      <c r="C17" s="22">
        <v>350</v>
      </c>
      <c r="D17" s="23" t="s">
        <v>21</v>
      </c>
      <c r="E17" s="23">
        <v>0</v>
      </c>
      <c r="F17" s="6">
        <f>C17*F4</f>
        <v>2275000</v>
      </c>
      <c r="G17" s="6">
        <f>C17*G4</f>
        <v>2625000</v>
      </c>
      <c r="H17" s="43">
        <f>C17*H4</f>
        <v>3325000</v>
      </c>
      <c r="I17" s="6">
        <f>C17*I4</f>
        <v>4725000</v>
      </c>
      <c r="J17" s="6">
        <f>C17*J4</f>
        <v>5425000</v>
      </c>
    </row>
    <row r="18" spans="1:10">
      <c r="A18" s="14">
        <v>12</v>
      </c>
      <c r="B18" s="21" t="s">
        <v>24</v>
      </c>
      <c r="C18" s="22">
        <v>400</v>
      </c>
      <c r="D18" s="23" t="s">
        <v>21</v>
      </c>
      <c r="E18" s="23">
        <v>0</v>
      </c>
      <c r="F18" s="6">
        <f>C18*F4</f>
        <v>2600000</v>
      </c>
      <c r="G18" s="6">
        <f>C17*G4</f>
        <v>2625000</v>
      </c>
      <c r="H18" s="43">
        <f>C18*H4</f>
        <v>3800000</v>
      </c>
      <c r="I18" s="6">
        <f>C18*I4</f>
        <v>5400000</v>
      </c>
      <c r="J18" s="6">
        <f>C18*J4</f>
        <v>6200000</v>
      </c>
    </row>
    <row r="19" spans="1:10">
      <c r="A19" s="13">
        <v>13</v>
      </c>
      <c r="B19" s="25" t="s">
        <v>25</v>
      </c>
      <c r="C19" s="26">
        <v>330</v>
      </c>
      <c r="D19" s="27" t="s">
        <v>21</v>
      </c>
      <c r="E19" s="27">
        <v>0</v>
      </c>
      <c r="F19" s="41">
        <f>C19*F4</f>
        <v>2145000</v>
      </c>
      <c r="G19" s="41">
        <f>C19*G4</f>
        <v>2475000</v>
      </c>
      <c r="H19" s="44">
        <f>C19*H4</f>
        <v>3135000</v>
      </c>
      <c r="I19" s="41">
        <f>C19*I4</f>
        <v>4455000</v>
      </c>
      <c r="J19" s="41">
        <f>C19*J4</f>
        <v>5115000</v>
      </c>
    </row>
    <row r="20" spans="1:10">
      <c r="A20" s="14">
        <v>14</v>
      </c>
      <c r="B20" s="21" t="s">
        <v>159</v>
      </c>
      <c r="C20" s="22">
        <v>250</v>
      </c>
      <c r="D20" s="23" t="s">
        <v>21</v>
      </c>
      <c r="E20" s="23">
        <v>0</v>
      </c>
      <c r="F20" s="6">
        <f>C20*F4</f>
        <v>1625000</v>
      </c>
      <c r="G20" s="6">
        <f>C20*G4</f>
        <v>1875000</v>
      </c>
      <c r="H20" s="6">
        <f>C20*H4</f>
        <v>2375000</v>
      </c>
      <c r="I20" s="6">
        <f>C20*I4</f>
        <v>3375000</v>
      </c>
      <c r="J20" s="6">
        <f>C20*J4</f>
        <v>3875000</v>
      </c>
    </row>
    <row r="21" spans="1:10">
      <c r="A21" s="14">
        <v>15</v>
      </c>
      <c r="B21" s="21" t="s">
        <v>27</v>
      </c>
      <c r="C21" s="22">
        <v>430</v>
      </c>
      <c r="D21" s="23" t="s">
        <v>28</v>
      </c>
      <c r="E21" s="23">
        <v>1</v>
      </c>
      <c r="F21" s="6">
        <f>C21*F4</f>
        <v>2795000</v>
      </c>
      <c r="G21" s="6">
        <f>C21*G4</f>
        <v>3225000</v>
      </c>
      <c r="H21" s="6">
        <f>C21*H4</f>
        <v>4085000</v>
      </c>
      <c r="I21" s="6">
        <f>C21*I4</f>
        <v>5805000</v>
      </c>
      <c r="J21" s="6">
        <f>C21*J4</f>
        <v>6665000</v>
      </c>
    </row>
    <row r="22" spans="1:10">
      <c r="A22" s="13">
        <v>16</v>
      </c>
      <c r="B22" s="25" t="s">
        <v>29</v>
      </c>
      <c r="C22" s="26">
        <v>250</v>
      </c>
      <c r="D22" s="27" t="s">
        <v>21</v>
      </c>
      <c r="E22" s="27">
        <v>0</v>
      </c>
      <c r="F22" s="41">
        <f>C22*F4</f>
        <v>1625000</v>
      </c>
      <c r="G22" s="41">
        <f>C22*G4</f>
        <v>1875000</v>
      </c>
      <c r="H22" s="41">
        <f>C22*H4</f>
        <v>2375000</v>
      </c>
      <c r="I22" s="41">
        <f>C22*I4</f>
        <v>3375000</v>
      </c>
      <c r="J22" s="41">
        <f>C22*J4</f>
        <v>3875000</v>
      </c>
    </row>
    <row r="23" spans="1:10">
      <c r="A23" s="14">
        <v>17</v>
      </c>
      <c r="B23" s="21" t="s">
        <v>29</v>
      </c>
      <c r="C23" s="22">
        <v>450</v>
      </c>
      <c r="D23" s="23" t="s">
        <v>28</v>
      </c>
      <c r="E23" s="23">
        <v>1</v>
      </c>
      <c r="F23" s="6">
        <f>C23*F4</f>
        <v>2925000</v>
      </c>
      <c r="G23" s="6">
        <f>C23*G4</f>
        <v>3375000</v>
      </c>
      <c r="H23" s="6">
        <f>C23*H4</f>
        <v>4275000</v>
      </c>
      <c r="I23" s="6">
        <f>C23*I4</f>
        <v>6075000</v>
      </c>
      <c r="J23" s="6">
        <f>C23*J4</f>
        <v>6975000</v>
      </c>
    </row>
    <row r="24" spans="1:10">
      <c r="A24" s="14">
        <v>18</v>
      </c>
      <c r="B24" s="21" t="s">
        <v>30</v>
      </c>
      <c r="C24" s="22">
        <v>550</v>
      </c>
      <c r="D24" s="23" t="s">
        <v>28</v>
      </c>
      <c r="E24" s="23">
        <v>1</v>
      </c>
      <c r="F24" s="6">
        <f>C24*F4</f>
        <v>3575000</v>
      </c>
      <c r="G24" s="6">
        <f>C24*G4</f>
        <v>4125000</v>
      </c>
      <c r="H24" s="6">
        <f>C24*H4</f>
        <v>5225000</v>
      </c>
      <c r="I24" s="6">
        <f>C24*I4</f>
        <v>7425000</v>
      </c>
      <c r="J24" s="6">
        <f>C24*J4</f>
        <v>8525000</v>
      </c>
    </row>
    <row r="25" spans="1:10">
      <c r="A25" s="13">
        <v>19</v>
      </c>
      <c r="B25" s="25" t="s">
        <v>31</v>
      </c>
      <c r="C25" s="26">
        <v>730</v>
      </c>
      <c r="D25" s="27" t="s">
        <v>26</v>
      </c>
      <c r="E25" s="27">
        <v>2</v>
      </c>
      <c r="F25" s="41">
        <f>C25*F4</f>
        <v>4745000</v>
      </c>
      <c r="G25" s="41">
        <f>C25*G4</f>
        <v>5475000</v>
      </c>
      <c r="H25" s="41">
        <f>C25*H4</f>
        <v>6935000</v>
      </c>
      <c r="I25" s="41">
        <f>C25*I4</f>
        <v>9855000</v>
      </c>
      <c r="J25" s="41">
        <f>C25*J4</f>
        <v>11315000</v>
      </c>
    </row>
    <row r="26" spans="1:10">
      <c r="A26" s="14">
        <v>20</v>
      </c>
      <c r="B26" s="21" t="s">
        <v>32</v>
      </c>
      <c r="C26" s="22">
        <v>800</v>
      </c>
      <c r="D26" s="23" t="s">
        <v>26</v>
      </c>
      <c r="E26" s="23">
        <v>2</v>
      </c>
      <c r="F26" s="6">
        <f>C26*F4</f>
        <v>5200000</v>
      </c>
      <c r="G26" s="6">
        <f>C26*G4</f>
        <v>6000000</v>
      </c>
      <c r="H26" s="6">
        <f>C26*H4</f>
        <v>7600000</v>
      </c>
      <c r="I26" s="6">
        <f>C26*I4</f>
        <v>10800000</v>
      </c>
      <c r="J26" s="6">
        <f>C26*J4</f>
        <v>12400000</v>
      </c>
    </row>
    <row r="27" spans="1:10">
      <c r="A27" s="14">
        <v>21</v>
      </c>
      <c r="B27" s="21" t="s">
        <v>33</v>
      </c>
      <c r="C27" s="22">
        <v>1000</v>
      </c>
      <c r="D27" s="23" t="s">
        <v>34</v>
      </c>
      <c r="E27" s="23">
        <v>2</v>
      </c>
      <c r="F27" s="6">
        <f>C27*F4</f>
        <v>6500000</v>
      </c>
      <c r="G27" s="6">
        <f>C27*G4</f>
        <v>7500000</v>
      </c>
      <c r="H27" s="6">
        <f>C27*H4</f>
        <v>9500000</v>
      </c>
      <c r="I27" s="6">
        <f>C27*I4</f>
        <v>13500000</v>
      </c>
      <c r="J27" s="6">
        <f>C27*J4</f>
        <v>15500000</v>
      </c>
    </row>
    <row r="28" spans="1:10">
      <c r="A28" s="14">
        <v>22</v>
      </c>
      <c r="B28" s="21" t="s">
        <v>35</v>
      </c>
      <c r="C28" s="22">
        <v>760</v>
      </c>
      <c r="D28" s="23" t="s">
        <v>28</v>
      </c>
      <c r="E28" s="23">
        <v>1</v>
      </c>
      <c r="F28" s="6">
        <f>C28*F4</f>
        <v>4940000</v>
      </c>
      <c r="G28" s="6">
        <f>C28*G4</f>
        <v>5700000</v>
      </c>
      <c r="H28" s="6">
        <f>C28*H4</f>
        <v>7220000</v>
      </c>
      <c r="I28" s="6">
        <f>C28*I4</f>
        <v>10260000</v>
      </c>
      <c r="J28" s="6">
        <f>C28*J4</f>
        <v>11780000</v>
      </c>
    </row>
    <row r="29" spans="1:10">
      <c r="A29" s="70">
        <v>24</v>
      </c>
      <c r="B29" s="71" t="s">
        <v>36</v>
      </c>
      <c r="C29" s="72">
        <v>850</v>
      </c>
      <c r="D29" s="73" t="s">
        <v>26</v>
      </c>
      <c r="E29" s="73">
        <v>2</v>
      </c>
      <c r="F29" s="74">
        <f>C29*F4</f>
        <v>5525000</v>
      </c>
      <c r="G29" s="74">
        <f>C29*G4</f>
        <v>6375000</v>
      </c>
      <c r="H29" s="74">
        <f>C29*H4</f>
        <v>8075000</v>
      </c>
      <c r="I29" s="74">
        <f>C29*I4</f>
        <v>11475000</v>
      </c>
      <c r="J29" s="74">
        <f>C29*J4</f>
        <v>13175000</v>
      </c>
    </row>
    <row r="30" spans="1:10">
      <c r="A30" s="14">
        <v>25</v>
      </c>
      <c r="B30" s="21" t="s">
        <v>37</v>
      </c>
      <c r="C30" s="22">
        <v>1100</v>
      </c>
      <c r="D30" s="23" t="s">
        <v>34</v>
      </c>
      <c r="E30" s="23">
        <v>3</v>
      </c>
      <c r="F30" s="6">
        <f>C30*F4</f>
        <v>7150000</v>
      </c>
      <c r="G30" s="6">
        <f>C30*G4</f>
        <v>8250000</v>
      </c>
      <c r="H30" s="6">
        <f>C30*H4</f>
        <v>10450000</v>
      </c>
      <c r="I30" s="6">
        <f>C30*I4</f>
        <v>14850000</v>
      </c>
      <c r="J30" s="6">
        <f>C30*J4</f>
        <v>17050000</v>
      </c>
    </row>
    <row r="31" spans="1:10">
      <c r="A31" s="14">
        <v>26</v>
      </c>
      <c r="B31" s="21" t="s">
        <v>38</v>
      </c>
      <c r="C31" s="22">
        <v>770</v>
      </c>
      <c r="D31" s="23" t="s">
        <v>28</v>
      </c>
      <c r="E31" s="23">
        <v>1</v>
      </c>
      <c r="F31" s="6">
        <f>C31*F4</f>
        <v>5005000</v>
      </c>
      <c r="G31" s="6">
        <f>C31*G4</f>
        <v>5775000</v>
      </c>
      <c r="H31" s="6">
        <f>C31*H4</f>
        <v>7315000</v>
      </c>
      <c r="I31" s="6">
        <f>C31*I4</f>
        <v>10395000</v>
      </c>
      <c r="J31" s="6">
        <f>C31*J4</f>
        <v>11935000</v>
      </c>
    </row>
    <row r="32" spans="1:10">
      <c r="A32" s="70">
        <v>27</v>
      </c>
      <c r="B32" s="71" t="s">
        <v>39</v>
      </c>
      <c r="C32" s="72">
        <v>980</v>
      </c>
      <c r="D32" s="73" t="s">
        <v>26</v>
      </c>
      <c r="E32" s="73">
        <v>2</v>
      </c>
      <c r="F32" s="74">
        <f>C32*F4</f>
        <v>6370000</v>
      </c>
      <c r="G32" s="74">
        <f>C32*G4</f>
        <v>7350000</v>
      </c>
      <c r="H32" s="74">
        <f>C32*H4</f>
        <v>9310000</v>
      </c>
      <c r="I32" s="74">
        <f>C32*I4</f>
        <v>13230000</v>
      </c>
      <c r="J32" s="74">
        <f>C32*J4</f>
        <v>15190000</v>
      </c>
    </row>
    <row r="33" spans="1:10">
      <c r="A33" s="14">
        <v>28</v>
      </c>
      <c r="B33" s="21" t="s">
        <v>40</v>
      </c>
      <c r="C33" s="22">
        <v>1050</v>
      </c>
      <c r="D33" s="23" t="s">
        <v>26</v>
      </c>
      <c r="E33" s="23">
        <v>2</v>
      </c>
      <c r="F33" s="6">
        <f>C33*F4</f>
        <v>6825000</v>
      </c>
      <c r="G33" s="6">
        <f>C33*G4</f>
        <v>7875000</v>
      </c>
      <c r="H33" s="6">
        <f>C33*H4</f>
        <v>9975000</v>
      </c>
      <c r="I33" s="6">
        <f>C33*I4</f>
        <v>14175000</v>
      </c>
      <c r="J33" s="6">
        <f>C33*J4</f>
        <v>16275000</v>
      </c>
    </row>
    <row r="34" spans="1:10">
      <c r="A34" s="14">
        <v>29</v>
      </c>
      <c r="B34" s="21" t="s">
        <v>41</v>
      </c>
      <c r="C34" s="22">
        <v>1100</v>
      </c>
      <c r="D34" s="23" t="s">
        <v>26</v>
      </c>
      <c r="E34" s="23">
        <v>2</v>
      </c>
      <c r="F34" s="6">
        <f>C34*F4</f>
        <v>7150000</v>
      </c>
      <c r="G34" s="6">
        <f>C34*G4</f>
        <v>8250000</v>
      </c>
      <c r="H34" s="6">
        <f>C34*H4</f>
        <v>10450000</v>
      </c>
      <c r="I34" s="6">
        <f>C34*I4</f>
        <v>14850000</v>
      </c>
      <c r="J34" s="6">
        <f>C34*J4</f>
        <v>17050000</v>
      </c>
    </row>
    <row r="35" spans="1:10">
      <c r="A35" s="14">
        <v>30</v>
      </c>
      <c r="B35" s="21" t="s">
        <v>42</v>
      </c>
      <c r="C35" s="22">
        <v>600</v>
      </c>
      <c r="D35" s="23" t="s">
        <v>28</v>
      </c>
      <c r="E35" s="23">
        <v>1</v>
      </c>
      <c r="F35" s="6">
        <f>C35*F4</f>
        <v>3900000</v>
      </c>
      <c r="G35" s="6">
        <f>C35*G4</f>
        <v>4500000</v>
      </c>
      <c r="H35" s="6">
        <f>C35*H4</f>
        <v>5700000</v>
      </c>
      <c r="I35" s="6">
        <f>C35*I4</f>
        <v>8100000</v>
      </c>
      <c r="J35" s="6">
        <f>C35*J4</f>
        <v>9300000</v>
      </c>
    </row>
    <row r="36" spans="1:10">
      <c r="A36" s="14">
        <v>31</v>
      </c>
      <c r="B36" s="21" t="s">
        <v>43</v>
      </c>
      <c r="C36" s="22">
        <v>650</v>
      </c>
      <c r="D36" s="23"/>
      <c r="E36" s="23">
        <v>0</v>
      </c>
      <c r="F36" s="6">
        <f>C36*F4</f>
        <v>4225000</v>
      </c>
      <c r="G36" s="6">
        <f>C36*G4</f>
        <v>4875000</v>
      </c>
      <c r="H36" s="6">
        <f>C36*H4</f>
        <v>6175000</v>
      </c>
      <c r="I36" s="6">
        <f>C36*I4</f>
        <v>8775000</v>
      </c>
      <c r="J36" s="6">
        <f>C36*J4</f>
        <v>10075000</v>
      </c>
    </row>
    <row r="37" spans="1:10">
      <c r="A37" s="14">
        <v>32</v>
      </c>
      <c r="B37" s="21" t="s">
        <v>44</v>
      </c>
      <c r="C37" s="22">
        <v>980</v>
      </c>
      <c r="D37" s="23" t="s">
        <v>26</v>
      </c>
      <c r="E37" s="23">
        <v>2</v>
      </c>
      <c r="F37" s="6">
        <f>C37*F4</f>
        <v>6370000</v>
      </c>
      <c r="G37" s="6">
        <f>C37*G4</f>
        <v>7350000</v>
      </c>
      <c r="H37" s="6">
        <f>C37*H4</f>
        <v>9310000</v>
      </c>
      <c r="I37" s="6">
        <f>C37*I4</f>
        <v>13230000</v>
      </c>
      <c r="J37" s="6">
        <f>C37*J4</f>
        <v>15190000</v>
      </c>
    </row>
    <row r="38" spans="1:10">
      <c r="A38" s="14">
        <v>33</v>
      </c>
      <c r="B38" s="21" t="s">
        <v>45</v>
      </c>
      <c r="C38" s="22">
        <v>1600</v>
      </c>
      <c r="D38" s="23" t="s">
        <v>34</v>
      </c>
      <c r="E38" s="23">
        <v>3</v>
      </c>
      <c r="F38" s="6">
        <f>C38*F4</f>
        <v>10400000</v>
      </c>
      <c r="G38" s="6">
        <f>C38*G4</f>
        <v>12000000</v>
      </c>
      <c r="H38" s="6">
        <f>C38*H4</f>
        <v>15200000</v>
      </c>
      <c r="I38" s="6">
        <f>C37*I4</f>
        <v>13230000</v>
      </c>
      <c r="J38" s="6">
        <f>C38*J4</f>
        <v>24800000</v>
      </c>
    </row>
    <row r="39" spans="1:10">
      <c r="A39" s="14">
        <v>34</v>
      </c>
      <c r="B39" s="45" t="s">
        <v>46</v>
      </c>
      <c r="C39" s="22">
        <v>230</v>
      </c>
      <c r="D39" s="23"/>
      <c r="E39" s="23">
        <v>0</v>
      </c>
      <c r="F39" s="6">
        <f>C39*F4</f>
        <v>1495000</v>
      </c>
      <c r="G39" s="6">
        <f>C39*G4</f>
        <v>1725000</v>
      </c>
      <c r="H39" s="6">
        <f>C39*H4</f>
        <v>2185000</v>
      </c>
      <c r="I39" s="6">
        <f>C39*I4</f>
        <v>3105000</v>
      </c>
      <c r="J39" s="6">
        <f>C39*J4</f>
        <v>3565000</v>
      </c>
    </row>
    <row r="40" spans="1:10">
      <c r="A40" s="13">
        <v>35</v>
      </c>
      <c r="B40" s="25" t="s">
        <v>47</v>
      </c>
      <c r="C40" s="26">
        <v>300</v>
      </c>
      <c r="D40" s="27" t="s">
        <v>21</v>
      </c>
      <c r="E40" s="27">
        <v>0</v>
      </c>
      <c r="F40" s="41">
        <f>C40*F4</f>
        <v>1950000</v>
      </c>
      <c r="G40" s="41">
        <f>C40*G4</f>
        <v>2250000</v>
      </c>
      <c r="H40" s="41">
        <f>C40*H4</f>
        <v>2850000</v>
      </c>
      <c r="I40" s="41">
        <f>C40*I4</f>
        <v>4050000</v>
      </c>
      <c r="J40" s="41">
        <f>C40*J4</f>
        <v>4650000</v>
      </c>
    </row>
    <row r="41" spans="1:10">
      <c r="A41" s="14">
        <v>36</v>
      </c>
      <c r="B41" s="21" t="s">
        <v>48</v>
      </c>
      <c r="C41" s="22">
        <v>480</v>
      </c>
      <c r="D41" s="23" t="s">
        <v>28</v>
      </c>
      <c r="E41" s="23">
        <v>1</v>
      </c>
      <c r="F41" s="6">
        <f>C41*F4</f>
        <v>3120000</v>
      </c>
      <c r="G41" s="6">
        <f>C41*G4</f>
        <v>3600000</v>
      </c>
      <c r="H41" s="6">
        <f>C41*H4</f>
        <v>4560000</v>
      </c>
      <c r="I41" s="6">
        <f>C41*I4</f>
        <v>6480000</v>
      </c>
      <c r="J41" s="6">
        <f>C41*J4</f>
        <v>7440000</v>
      </c>
    </row>
    <row r="42" spans="1:10">
      <c r="A42" s="14">
        <v>37</v>
      </c>
      <c r="B42" s="21" t="s">
        <v>49</v>
      </c>
      <c r="C42" s="22">
        <v>410</v>
      </c>
      <c r="D42" s="23" t="s">
        <v>21</v>
      </c>
      <c r="E42" s="23">
        <v>0</v>
      </c>
      <c r="F42" s="6">
        <f>C42*F4</f>
        <v>2665000</v>
      </c>
      <c r="G42" s="6">
        <f>C42*G4</f>
        <v>3075000</v>
      </c>
      <c r="H42" s="6">
        <f>C42*H4</f>
        <v>3895000</v>
      </c>
      <c r="I42" s="6">
        <f>C42*I4</f>
        <v>5535000</v>
      </c>
      <c r="J42" s="6">
        <f>C42*J4</f>
        <v>6355000</v>
      </c>
    </row>
    <row r="43" spans="1:10">
      <c r="A43" s="70">
        <v>38</v>
      </c>
      <c r="B43" s="71" t="s">
        <v>160</v>
      </c>
      <c r="C43" s="72">
        <v>500</v>
      </c>
      <c r="D43" s="73" t="s">
        <v>28</v>
      </c>
      <c r="E43" s="73">
        <v>2</v>
      </c>
      <c r="F43" s="74">
        <f>C43*F4</f>
        <v>3250000</v>
      </c>
      <c r="G43" s="74">
        <f>C43*G4</f>
        <v>3750000</v>
      </c>
      <c r="H43" s="74">
        <f>C43*H4</f>
        <v>4750000</v>
      </c>
      <c r="I43" s="74">
        <f>C43*I4</f>
        <v>6750000</v>
      </c>
      <c r="J43" s="74">
        <f>C43*J4</f>
        <v>7750000</v>
      </c>
    </row>
    <row r="44" spans="1:10">
      <c r="A44" s="14">
        <v>39</v>
      </c>
      <c r="B44" s="21" t="s">
        <v>50</v>
      </c>
      <c r="C44" s="22">
        <v>890</v>
      </c>
      <c r="D44" s="23" t="s">
        <v>26</v>
      </c>
      <c r="E44" s="23">
        <v>3</v>
      </c>
      <c r="F44" s="6">
        <f>C44*F4</f>
        <v>5785000</v>
      </c>
      <c r="G44" s="6">
        <f>C44*G4</f>
        <v>6675000</v>
      </c>
      <c r="H44" s="6">
        <f>C44*H4</f>
        <v>8455000</v>
      </c>
      <c r="I44" s="6">
        <f>C44*I4</f>
        <v>12015000</v>
      </c>
      <c r="J44" s="6">
        <f>C44*J4</f>
        <v>13795000</v>
      </c>
    </row>
    <row r="45" spans="1:10">
      <c r="A45" s="14">
        <v>40</v>
      </c>
      <c r="B45" s="21" t="s">
        <v>51</v>
      </c>
      <c r="C45" s="22">
        <v>1100</v>
      </c>
      <c r="D45" s="23" t="s">
        <v>34</v>
      </c>
      <c r="E45" s="23">
        <v>3</v>
      </c>
      <c r="F45" s="6">
        <f>C45*F4</f>
        <v>7150000</v>
      </c>
      <c r="G45" s="6">
        <f>C45*G4</f>
        <v>8250000</v>
      </c>
      <c r="H45" s="6">
        <f>C45*H4</f>
        <v>10450000</v>
      </c>
      <c r="I45" s="6">
        <f>C45*I4</f>
        <v>14850000</v>
      </c>
      <c r="J45" s="6">
        <f>C45*J4</f>
        <v>17050000</v>
      </c>
    </row>
    <row r="46" spans="1:10">
      <c r="A46" s="46">
        <v>41</v>
      </c>
      <c r="B46" s="47" t="s">
        <v>52</v>
      </c>
      <c r="C46" s="48">
        <v>800</v>
      </c>
      <c r="D46" s="49" t="s">
        <v>26</v>
      </c>
      <c r="E46" s="49">
        <v>3</v>
      </c>
      <c r="F46" s="50">
        <f>C46*F4</f>
        <v>5200000</v>
      </c>
      <c r="G46" s="50">
        <f>C46*G4</f>
        <v>6000000</v>
      </c>
      <c r="H46" s="50">
        <f>C46*H4</f>
        <v>7600000</v>
      </c>
      <c r="I46" s="50">
        <f>C46*I4</f>
        <v>10800000</v>
      </c>
      <c r="J46" s="50">
        <f>C46*J4</f>
        <v>12400000</v>
      </c>
    </row>
    <row r="47" spans="1:10">
      <c r="A47" s="14">
        <v>42</v>
      </c>
      <c r="B47" s="21" t="s">
        <v>53</v>
      </c>
      <c r="C47" s="22">
        <v>1075</v>
      </c>
      <c r="D47" s="23" t="s">
        <v>34</v>
      </c>
      <c r="E47" s="23">
        <v>3</v>
      </c>
      <c r="F47" s="6">
        <f>C47*F4</f>
        <v>6987500</v>
      </c>
      <c r="G47" s="6">
        <f>C47*G4</f>
        <v>8062500</v>
      </c>
      <c r="H47" s="6">
        <f>C47*H4</f>
        <v>10212500</v>
      </c>
      <c r="I47" s="6">
        <f>C47*I4</f>
        <v>14512500</v>
      </c>
      <c r="J47" s="6">
        <f>C47*J4</f>
        <v>16662500</v>
      </c>
    </row>
    <row r="48" spans="1:10">
      <c r="A48" s="14">
        <v>43</v>
      </c>
      <c r="B48" s="21" t="s">
        <v>54</v>
      </c>
      <c r="C48" s="22">
        <v>650</v>
      </c>
      <c r="D48" s="23" t="s">
        <v>28</v>
      </c>
      <c r="E48" s="23">
        <v>1</v>
      </c>
      <c r="F48" s="6">
        <f>C48*F4</f>
        <v>4225000</v>
      </c>
      <c r="G48" s="6">
        <f>C48*G4</f>
        <v>4875000</v>
      </c>
      <c r="H48" s="6">
        <f>C48*H4</f>
        <v>6175000</v>
      </c>
      <c r="I48" s="6">
        <f>C48*I4</f>
        <v>8775000</v>
      </c>
      <c r="J48" s="6">
        <f>C48*J4</f>
        <v>10075000</v>
      </c>
    </row>
    <row r="49" spans="1:10">
      <c r="A49" s="14">
        <v>44</v>
      </c>
      <c r="B49" s="21" t="s">
        <v>55</v>
      </c>
      <c r="C49" s="22">
        <v>970</v>
      </c>
      <c r="D49" s="23" t="s">
        <v>34</v>
      </c>
      <c r="E49" s="23">
        <v>3</v>
      </c>
      <c r="F49" s="6">
        <f>C49*F4</f>
        <v>6305000</v>
      </c>
      <c r="G49" s="6">
        <f>C49*G4</f>
        <v>7275000</v>
      </c>
      <c r="H49" s="6">
        <f>C49*H4</f>
        <v>9215000</v>
      </c>
      <c r="I49" s="6">
        <f>C49*I4</f>
        <v>13095000</v>
      </c>
      <c r="J49" s="6">
        <f>C49*J4</f>
        <v>15035000</v>
      </c>
    </row>
    <row r="50" spans="1:10">
      <c r="A50" s="13">
        <v>45</v>
      </c>
      <c r="B50" s="25" t="s">
        <v>56</v>
      </c>
      <c r="C50" s="26">
        <v>890</v>
      </c>
      <c r="D50" s="27" t="s">
        <v>26</v>
      </c>
      <c r="E50" s="27">
        <v>2</v>
      </c>
      <c r="F50" s="41">
        <f>C50*F4</f>
        <v>5785000</v>
      </c>
      <c r="G50" s="41">
        <f>C50*G4</f>
        <v>6675000</v>
      </c>
      <c r="H50" s="41">
        <f>C50*H4</f>
        <v>8455000</v>
      </c>
      <c r="I50" s="41">
        <f>C50*I4</f>
        <v>12015000</v>
      </c>
      <c r="J50" s="41">
        <f>C50*J4</f>
        <v>13795000</v>
      </c>
    </row>
    <row r="51" spans="1:10">
      <c r="A51" s="14">
        <v>46</v>
      </c>
      <c r="B51" s="21" t="s">
        <v>57</v>
      </c>
      <c r="C51" s="22">
        <v>1030</v>
      </c>
      <c r="D51" s="23" t="s">
        <v>34</v>
      </c>
      <c r="E51" s="23">
        <v>3</v>
      </c>
      <c r="F51" s="6">
        <f>C51*F4</f>
        <v>6695000</v>
      </c>
      <c r="G51" s="6">
        <f>C51*G4</f>
        <v>7725000</v>
      </c>
      <c r="H51" s="6">
        <f>C51*H4</f>
        <v>9785000</v>
      </c>
      <c r="I51" s="6">
        <f>C51*I4</f>
        <v>13905000</v>
      </c>
      <c r="J51" s="6">
        <f>C51*J4</f>
        <v>15965000</v>
      </c>
    </row>
    <row r="52" spans="1:10">
      <c r="A52" s="13">
        <v>47</v>
      </c>
      <c r="B52" s="25" t="s">
        <v>58</v>
      </c>
      <c r="C52" s="26">
        <v>360</v>
      </c>
      <c r="D52" s="27" t="s">
        <v>59</v>
      </c>
      <c r="E52" s="27">
        <v>0</v>
      </c>
      <c r="F52" s="41">
        <f>C52*F4</f>
        <v>2340000</v>
      </c>
      <c r="G52" s="41">
        <f>C52*G4</f>
        <v>2700000</v>
      </c>
      <c r="H52" s="41">
        <f>C52*H4</f>
        <v>3420000</v>
      </c>
      <c r="I52" s="41">
        <f>C52*I4</f>
        <v>4860000</v>
      </c>
      <c r="J52" s="41">
        <f>C52*J4</f>
        <v>5580000</v>
      </c>
    </row>
    <row r="53" spans="1:10">
      <c r="A53" s="14">
        <v>48</v>
      </c>
      <c r="B53" s="21" t="s">
        <v>60</v>
      </c>
      <c r="C53" s="22">
        <v>690</v>
      </c>
      <c r="D53" s="23" t="s">
        <v>28</v>
      </c>
      <c r="E53" s="23">
        <v>1</v>
      </c>
      <c r="F53" s="6">
        <f>C53*F4</f>
        <v>4485000</v>
      </c>
      <c r="G53" s="6">
        <f>C53*G4</f>
        <v>5175000</v>
      </c>
      <c r="H53" s="6">
        <f>C53*H4</f>
        <v>6555000</v>
      </c>
      <c r="I53" s="6">
        <f>C53*I4</f>
        <v>9315000</v>
      </c>
      <c r="J53" s="6">
        <f>C53*J4</f>
        <v>10695000</v>
      </c>
    </row>
    <row r="54" spans="1:10">
      <c r="A54" s="14">
        <v>49</v>
      </c>
      <c r="B54" s="21" t="s">
        <v>61</v>
      </c>
      <c r="C54" s="22">
        <v>950</v>
      </c>
      <c r="D54" s="23" t="s">
        <v>34</v>
      </c>
      <c r="E54" s="23">
        <v>3</v>
      </c>
      <c r="F54" s="6">
        <f>C54*F4</f>
        <v>6175000</v>
      </c>
      <c r="G54" s="6">
        <f>C54*G4</f>
        <v>7125000</v>
      </c>
      <c r="H54" s="6">
        <f>C54*H4</f>
        <v>9025000</v>
      </c>
      <c r="I54" s="6">
        <f>C54*I4</f>
        <v>12825000</v>
      </c>
      <c r="J54" s="6">
        <f>C54*J4</f>
        <v>14725000</v>
      </c>
    </row>
    <row r="55" spans="1:10">
      <c r="A55" s="70">
        <v>50</v>
      </c>
      <c r="B55" s="71" t="s">
        <v>62</v>
      </c>
      <c r="C55" s="72">
        <v>1540</v>
      </c>
      <c r="D55" s="73" t="s">
        <v>63</v>
      </c>
      <c r="E55" s="73">
        <v>4</v>
      </c>
      <c r="F55" s="74">
        <f>C55*F4</f>
        <v>10010000</v>
      </c>
      <c r="G55" s="74">
        <f>C55*G4</f>
        <v>11550000</v>
      </c>
      <c r="H55" s="74">
        <f>C55*H4</f>
        <v>14630000</v>
      </c>
      <c r="I55" s="74">
        <f>C55*I4</f>
        <v>20790000</v>
      </c>
      <c r="J55" s="74">
        <f>C55*J4</f>
        <v>23870000</v>
      </c>
    </row>
    <row r="56" spans="1:10">
      <c r="A56" s="14">
        <v>51</v>
      </c>
      <c r="B56" s="21" t="s">
        <v>64</v>
      </c>
      <c r="C56" s="22">
        <v>550</v>
      </c>
      <c r="D56" s="23" t="s">
        <v>65</v>
      </c>
      <c r="E56" s="23">
        <v>0</v>
      </c>
      <c r="F56" s="6">
        <f>C56*F4</f>
        <v>3575000</v>
      </c>
      <c r="G56" s="6">
        <f>C56*G4</f>
        <v>4125000</v>
      </c>
      <c r="H56" s="6">
        <f>C56*H4</f>
        <v>5225000</v>
      </c>
      <c r="I56" s="6">
        <f>C56*I4</f>
        <v>7425000</v>
      </c>
      <c r="J56" s="6">
        <f>C56*J4</f>
        <v>8525000</v>
      </c>
    </row>
    <row r="57" spans="1:10">
      <c r="A57" s="14">
        <v>52</v>
      </c>
      <c r="B57" s="21" t="s">
        <v>66</v>
      </c>
      <c r="C57" s="22">
        <v>680</v>
      </c>
      <c r="D57" s="23" t="s">
        <v>28</v>
      </c>
      <c r="E57" s="23">
        <v>1</v>
      </c>
      <c r="F57" s="6">
        <f>C57*F4</f>
        <v>4420000</v>
      </c>
      <c r="G57" s="6">
        <f>C57*G4</f>
        <v>5100000</v>
      </c>
      <c r="H57" s="6">
        <f>C57*H4</f>
        <v>6460000</v>
      </c>
      <c r="I57" s="6">
        <f>C57*I4</f>
        <v>9180000</v>
      </c>
      <c r="J57" s="6">
        <f>C57*J4</f>
        <v>10540000</v>
      </c>
    </row>
    <row r="58" spans="1:10">
      <c r="A58" s="14">
        <v>53</v>
      </c>
      <c r="B58" s="21" t="s">
        <v>67</v>
      </c>
      <c r="C58" s="22">
        <v>850</v>
      </c>
      <c r="D58" s="23" t="s">
        <v>26</v>
      </c>
      <c r="E58" s="23">
        <v>2</v>
      </c>
      <c r="F58" s="6">
        <f>C58*F4</f>
        <v>5525000</v>
      </c>
      <c r="G58" s="6">
        <f>C58*G4</f>
        <v>6375000</v>
      </c>
      <c r="H58" s="6">
        <f>C58*H4</f>
        <v>8075000</v>
      </c>
      <c r="I58" s="6">
        <f>C58*I4</f>
        <v>11475000</v>
      </c>
      <c r="J58" s="6">
        <f>C58*J4</f>
        <v>13175000</v>
      </c>
    </row>
    <row r="59" spans="1:10">
      <c r="A59" s="14">
        <v>54</v>
      </c>
      <c r="B59" s="21" t="s">
        <v>68</v>
      </c>
      <c r="C59" s="22">
        <v>1000</v>
      </c>
      <c r="D59" s="23" t="s">
        <v>34</v>
      </c>
      <c r="E59" s="23">
        <v>3</v>
      </c>
      <c r="F59" s="6">
        <f>C59*F4</f>
        <v>6500000</v>
      </c>
      <c r="G59" s="6">
        <f>C59*G4</f>
        <v>7500000</v>
      </c>
      <c r="H59" s="6">
        <f>C59*H4</f>
        <v>9500000</v>
      </c>
      <c r="I59" s="6">
        <f>C59*I4</f>
        <v>13500000</v>
      </c>
      <c r="J59" s="6">
        <f>C59*J4</f>
        <v>15500000</v>
      </c>
    </row>
    <row r="60" spans="1:10">
      <c r="A60" s="14">
        <v>55</v>
      </c>
      <c r="B60" s="21" t="s">
        <v>69</v>
      </c>
      <c r="C60" s="22">
        <v>1600</v>
      </c>
      <c r="D60" s="23" t="s">
        <v>70</v>
      </c>
      <c r="E60" s="23">
        <v>6</v>
      </c>
      <c r="F60" s="6">
        <f>C60*F4</f>
        <v>10400000</v>
      </c>
      <c r="G60" s="6">
        <f>C60*G4</f>
        <v>12000000</v>
      </c>
      <c r="H60" s="6">
        <f>C60*H4</f>
        <v>15200000</v>
      </c>
      <c r="I60" s="6">
        <f>C60*I4</f>
        <v>21600000</v>
      </c>
      <c r="J60" s="6">
        <f>C60*J4</f>
        <v>24800000</v>
      </c>
    </row>
    <row r="61" spans="1:10">
      <c r="A61" s="14">
        <v>56</v>
      </c>
      <c r="B61" s="21" t="s">
        <v>71</v>
      </c>
      <c r="C61" s="22">
        <v>1250</v>
      </c>
      <c r="D61" s="23" t="s">
        <v>63</v>
      </c>
      <c r="E61" s="23">
        <v>4</v>
      </c>
      <c r="F61" s="6">
        <f>C61*F4</f>
        <v>8125000</v>
      </c>
      <c r="G61" s="6">
        <f>C61*G4</f>
        <v>9375000</v>
      </c>
      <c r="H61" s="6">
        <f>C61*H4</f>
        <v>11875000</v>
      </c>
      <c r="I61" s="6">
        <f>C61*I4</f>
        <v>16875000</v>
      </c>
      <c r="J61" s="6">
        <f>C61*J4</f>
        <v>19375000</v>
      </c>
    </row>
    <row r="62" spans="1:10">
      <c r="A62" s="70">
        <v>57</v>
      </c>
      <c r="B62" s="71" t="s">
        <v>72</v>
      </c>
      <c r="C62" s="72">
        <v>1240</v>
      </c>
      <c r="D62" s="73" t="s">
        <v>34</v>
      </c>
      <c r="E62" s="73">
        <v>3</v>
      </c>
      <c r="F62" s="74">
        <f>C62*F4</f>
        <v>8060000</v>
      </c>
      <c r="G62" s="74">
        <f>C62*G4</f>
        <v>9300000</v>
      </c>
      <c r="H62" s="74">
        <f>C62*H4</f>
        <v>11780000</v>
      </c>
      <c r="I62" s="74">
        <f>C62*I4</f>
        <v>16740000</v>
      </c>
      <c r="J62" s="74">
        <f>C62*J4</f>
        <v>19220000</v>
      </c>
    </row>
    <row r="63" spans="1:10">
      <c r="A63" s="14">
        <v>58</v>
      </c>
      <c r="B63" s="21" t="s">
        <v>73</v>
      </c>
      <c r="C63" s="22">
        <v>1050</v>
      </c>
      <c r="D63" s="23" t="s">
        <v>34</v>
      </c>
      <c r="E63" s="23">
        <v>3</v>
      </c>
      <c r="F63" s="6">
        <f>C63*F4</f>
        <v>6825000</v>
      </c>
      <c r="G63" s="6">
        <f>C63*G4</f>
        <v>7875000</v>
      </c>
      <c r="H63" s="6">
        <f>C63*H4</f>
        <v>9975000</v>
      </c>
      <c r="I63" s="6">
        <f>C63*I4</f>
        <v>14175000</v>
      </c>
      <c r="J63" s="6">
        <f>C63*J4</f>
        <v>16275000</v>
      </c>
    </row>
    <row r="64" spans="1:10">
      <c r="A64" s="14">
        <v>59</v>
      </c>
      <c r="B64" s="21" t="s">
        <v>74</v>
      </c>
      <c r="C64" s="22">
        <v>950</v>
      </c>
      <c r="D64" s="23" t="s">
        <v>26</v>
      </c>
      <c r="E64" s="23">
        <v>2</v>
      </c>
      <c r="F64" s="6">
        <f>C64*F4</f>
        <v>6175000</v>
      </c>
      <c r="G64" s="6">
        <f>C64*G4</f>
        <v>7125000</v>
      </c>
      <c r="H64" s="6">
        <f>C64*H4</f>
        <v>9025000</v>
      </c>
      <c r="I64" s="6">
        <f>C64*I4</f>
        <v>12825000</v>
      </c>
      <c r="J64" s="6">
        <f>C64*J4</f>
        <v>14725000</v>
      </c>
    </row>
    <row r="65" spans="1:10">
      <c r="A65" s="14">
        <v>60</v>
      </c>
      <c r="B65" s="21" t="s">
        <v>75</v>
      </c>
      <c r="C65" s="22">
        <v>750</v>
      </c>
      <c r="D65" s="23" t="s">
        <v>26</v>
      </c>
      <c r="E65" s="23">
        <v>2</v>
      </c>
      <c r="F65" s="6">
        <f>C65*F4</f>
        <v>4875000</v>
      </c>
      <c r="G65" s="6">
        <f>C65*G4</f>
        <v>5625000</v>
      </c>
      <c r="H65" s="6">
        <f>C65*H4</f>
        <v>7125000</v>
      </c>
      <c r="I65" s="6">
        <f>C65*I4</f>
        <v>10125000</v>
      </c>
      <c r="J65" s="6">
        <f>C65*J4</f>
        <v>11625000</v>
      </c>
    </row>
    <row r="66" spans="1:10">
      <c r="A66" s="14">
        <v>61</v>
      </c>
      <c r="B66" s="21" t="s">
        <v>76</v>
      </c>
      <c r="C66" s="22">
        <v>1010</v>
      </c>
      <c r="D66" s="23" t="s">
        <v>26</v>
      </c>
      <c r="E66" s="23">
        <v>2</v>
      </c>
      <c r="F66" s="6">
        <f>C66*F4</f>
        <v>6565000</v>
      </c>
      <c r="G66" s="6">
        <f>C66*G4</f>
        <v>7575000</v>
      </c>
      <c r="H66" s="6">
        <f>C66*H4</f>
        <v>9595000</v>
      </c>
      <c r="I66" s="6">
        <f>C66*I4</f>
        <v>13635000</v>
      </c>
      <c r="J66" s="6">
        <f>C66*J4</f>
        <v>15655000</v>
      </c>
    </row>
    <row r="67" spans="1:10">
      <c r="A67" s="14">
        <v>62</v>
      </c>
      <c r="B67" s="21" t="s">
        <v>77</v>
      </c>
      <c r="C67" s="22">
        <v>900</v>
      </c>
      <c r="D67" s="23" t="s">
        <v>34</v>
      </c>
      <c r="E67" s="23">
        <v>3</v>
      </c>
      <c r="F67" s="6">
        <f>C67*F4</f>
        <v>5850000</v>
      </c>
      <c r="G67" s="6">
        <f>C67*G4</f>
        <v>6750000</v>
      </c>
      <c r="H67" s="6">
        <f>C67*H4</f>
        <v>8550000</v>
      </c>
      <c r="I67" s="6">
        <f>C67*I4</f>
        <v>12150000</v>
      </c>
      <c r="J67" s="6">
        <f>C67*J4</f>
        <v>13950000</v>
      </c>
    </row>
    <row r="68" spans="1:10">
      <c r="A68" s="70">
        <v>63</v>
      </c>
      <c r="B68" s="71" t="s">
        <v>78</v>
      </c>
      <c r="C68" s="72">
        <v>300</v>
      </c>
      <c r="D68" s="73" t="s">
        <v>21</v>
      </c>
      <c r="E68" s="73">
        <v>0</v>
      </c>
      <c r="F68" s="74">
        <f>C68*F4</f>
        <v>1950000</v>
      </c>
      <c r="G68" s="74">
        <f>C68*G4</f>
        <v>2250000</v>
      </c>
      <c r="H68" s="74">
        <f>C68*H4</f>
        <v>2850000</v>
      </c>
      <c r="I68" s="74">
        <f>C68*I4</f>
        <v>4050000</v>
      </c>
      <c r="J68" s="74">
        <f>C68*J4</f>
        <v>4650000</v>
      </c>
    </row>
    <row r="69" spans="1:10">
      <c r="A69" s="14">
        <v>64</v>
      </c>
      <c r="B69" s="21" t="s">
        <v>79</v>
      </c>
      <c r="C69" s="22">
        <v>420</v>
      </c>
      <c r="D69" s="23" t="s">
        <v>28</v>
      </c>
      <c r="E69" s="23">
        <v>1</v>
      </c>
      <c r="F69" s="6">
        <f>C69*F4</f>
        <v>2730000</v>
      </c>
      <c r="G69" s="6">
        <f>C69*G4</f>
        <v>3150000</v>
      </c>
      <c r="H69" s="6">
        <f>C69*H4</f>
        <v>3990000</v>
      </c>
      <c r="I69" s="6">
        <f>C69*I4</f>
        <v>5670000</v>
      </c>
      <c r="J69" s="6">
        <f>C69*J4</f>
        <v>6510000</v>
      </c>
    </row>
    <row r="70" spans="1:10">
      <c r="A70" s="14">
        <v>65</v>
      </c>
      <c r="B70" s="21" t="s">
        <v>80</v>
      </c>
      <c r="C70" s="22">
        <v>510</v>
      </c>
      <c r="D70" s="23" t="s">
        <v>59</v>
      </c>
      <c r="E70" s="23">
        <v>0</v>
      </c>
      <c r="F70" s="6">
        <f>C70*F4</f>
        <v>3315000</v>
      </c>
      <c r="G70" s="6">
        <f>C70*G4</f>
        <v>3825000</v>
      </c>
      <c r="H70" s="6">
        <f>C70*H4</f>
        <v>4845000</v>
      </c>
      <c r="I70" s="6">
        <f>C70*I4</f>
        <v>6885000</v>
      </c>
      <c r="J70" s="6">
        <f>C70*J4</f>
        <v>7905000</v>
      </c>
    </row>
    <row r="71" spans="1:10">
      <c r="A71" s="14">
        <v>66</v>
      </c>
      <c r="B71" s="21" t="s">
        <v>81</v>
      </c>
      <c r="C71" s="22">
        <v>560</v>
      </c>
      <c r="D71" s="23" t="s">
        <v>59</v>
      </c>
      <c r="E71" s="23">
        <v>0</v>
      </c>
      <c r="F71" s="6">
        <f>C71*F4</f>
        <v>3640000</v>
      </c>
      <c r="G71" s="6">
        <f>C71*G4</f>
        <v>4200000</v>
      </c>
      <c r="H71" s="6">
        <f>C71*H4</f>
        <v>5320000</v>
      </c>
      <c r="I71" s="6">
        <f>C71*I4</f>
        <v>7560000</v>
      </c>
      <c r="J71" s="6">
        <f>C71*J4</f>
        <v>8680000</v>
      </c>
    </row>
    <row r="72" spans="1:10">
      <c r="A72" s="14">
        <v>67</v>
      </c>
      <c r="B72" s="21" t="s">
        <v>82</v>
      </c>
      <c r="C72" s="22">
        <v>690</v>
      </c>
      <c r="D72" s="23" t="s">
        <v>59</v>
      </c>
      <c r="E72" s="23">
        <v>0</v>
      </c>
      <c r="F72" s="6">
        <f>C72*F4</f>
        <v>4485000</v>
      </c>
      <c r="G72" s="6">
        <f>C72*G4</f>
        <v>5175000</v>
      </c>
      <c r="H72" s="6">
        <f>C72*H4</f>
        <v>6555000</v>
      </c>
      <c r="I72" s="6">
        <f>C72*I4</f>
        <v>9315000</v>
      </c>
      <c r="J72" s="6">
        <f>C72*J4</f>
        <v>10695000</v>
      </c>
    </row>
    <row r="73" spans="1:10">
      <c r="A73" s="14">
        <v>68</v>
      </c>
      <c r="B73" s="21" t="s">
        <v>83</v>
      </c>
      <c r="C73" s="22">
        <v>400</v>
      </c>
      <c r="D73" s="23" t="s">
        <v>59</v>
      </c>
      <c r="E73" s="23">
        <v>0</v>
      </c>
      <c r="F73" s="6">
        <f>C73*F4</f>
        <v>2600000</v>
      </c>
      <c r="G73" s="6">
        <f>C73*G4</f>
        <v>3000000</v>
      </c>
      <c r="H73" s="6">
        <f>C73*H4</f>
        <v>3800000</v>
      </c>
      <c r="I73" s="6">
        <f>C73*I4</f>
        <v>5400000</v>
      </c>
      <c r="J73" s="6">
        <f>C73*J4</f>
        <v>6200000</v>
      </c>
    </row>
    <row r="74" spans="1:10">
      <c r="A74" s="14">
        <v>69</v>
      </c>
      <c r="B74" s="21" t="s">
        <v>84</v>
      </c>
      <c r="C74" s="22">
        <v>250</v>
      </c>
      <c r="D74" s="23" t="s">
        <v>85</v>
      </c>
      <c r="E74" s="23">
        <v>0</v>
      </c>
      <c r="F74" s="6">
        <f>F4*C74</f>
        <v>1625000</v>
      </c>
      <c r="G74" s="6">
        <f>G4*C74</f>
        <v>1875000</v>
      </c>
      <c r="H74" s="6">
        <f>H4*C74</f>
        <v>2375000</v>
      </c>
      <c r="I74" s="6">
        <f>I4*C74</f>
        <v>3375000</v>
      </c>
      <c r="J74" s="6">
        <f>J4*C74</f>
        <v>3875000</v>
      </c>
    </row>
    <row r="75" spans="1:10">
      <c r="A75" s="14">
        <v>70</v>
      </c>
      <c r="B75" s="21" t="s">
        <v>86</v>
      </c>
      <c r="C75" s="22">
        <v>300</v>
      </c>
      <c r="D75" s="23" t="s">
        <v>21</v>
      </c>
      <c r="E75" s="23">
        <v>0</v>
      </c>
      <c r="F75" s="6">
        <f>F4*C75</f>
        <v>1950000</v>
      </c>
      <c r="G75" s="6">
        <f>G4*C75</f>
        <v>2250000</v>
      </c>
      <c r="H75" s="6">
        <f>H4*C75</f>
        <v>2850000</v>
      </c>
      <c r="I75" s="6">
        <f>I4*C75</f>
        <v>4050000</v>
      </c>
      <c r="J75" s="6">
        <f>J4*C75</f>
        <v>4650000</v>
      </c>
    </row>
    <row r="76" spans="1:10" s="2" customFormat="1">
      <c r="A76" s="13">
        <v>71</v>
      </c>
      <c r="B76" s="25" t="s">
        <v>162</v>
      </c>
      <c r="C76" s="26">
        <v>0</v>
      </c>
      <c r="D76" s="27" t="s">
        <v>21</v>
      </c>
      <c r="E76" s="27">
        <v>0</v>
      </c>
      <c r="F76" s="41">
        <v>1400000</v>
      </c>
      <c r="G76" s="41">
        <v>1600000</v>
      </c>
      <c r="H76" s="41">
        <v>2400000</v>
      </c>
      <c r="I76" s="41">
        <v>3000000</v>
      </c>
      <c r="J76" s="41">
        <v>4000000</v>
      </c>
    </row>
    <row r="77" spans="1:10">
      <c r="A77" s="14">
        <v>72</v>
      </c>
      <c r="B77" s="45" t="s">
        <v>87</v>
      </c>
      <c r="C77" s="22">
        <v>260</v>
      </c>
      <c r="D77" s="23" t="s">
        <v>21</v>
      </c>
      <c r="E77" s="23">
        <v>0</v>
      </c>
      <c r="F77" s="6">
        <f>C77*F4</f>
        <v>1690000</v>
      </c>
      <c r="G77" s="6">
        <f>C77*G4</f>
        <v>1950000</v>
      </c>
      <c r="H77" s="6">
        <f>C77*H4</f>
        <v>2470000</v>
      </c>
      <c r="I77" s="6">
        <f>C77*I4</f>
        <v>3510000</v>
      </c>
      <c r="J77" s="6">
        <f>C77*J4</f>
        <v>4030000</v>
      </c>
    </row>
    <row r="78" spans="1:10">
      <c r="A78" s="14">
        <v>73</v>
      </c>
      <c r="B78" s="21" t="s">
        <v>88</v>
      </c>
      <c r="C78" s="22">
        <v>640</v>
      </c>
      <c r="D78" s="23" t="s">
        <v>28</v>
      </c>
      <c r="E78" s="23">
        <v>1</v>
      </c>
      <c r="F78" s="6">
        <f>C78*F4</f>
        <v>4160000</v>
      </c>
      <c r="G78" s="6">
        <f>C78*G4</f>
        <v>4800000</v>
      </c>
      <c r="H78" s="6">
        <f>C78*H4</f>
        <v>6080000</v>
      </c>
      <c r="I78" s="6">
        <f>C78*I4</f>
        <v>8640000</v>
      </c>
      <c r="J78" s="6">
        <f>C78*J4</f>
        <v>9920000</v>
      </c>
    </row>
    <row r="79" spans="1:10">
      <c r="A79" s="14">
        <v>74</v>
      </c>
      <c r="B79" s="21" t="s">
        <v>89</v>
      </c>
      <c r="C79" s="22">
        <v>580</v>
      </c>
      <c r="D79" s="23" t="s">
        <v>28</v>
      </c>
      <c r="E79" s="23">
        <v>1</v>
      </c>
      <c r="F79" s="6">
        <f>C79*F4</f>
        <v>3770000</v>
      </c>
      <c r="G79" s="6">
        <f>C79*G4</f>
        <v>4350000</v>
      </c>
      <c r="H79" s="6">
        <f>C79*H4</f>
        <v>5510000</v>
      </c>
      <c r="I79" s="6">
        <f>C79*I4</f>
        <v>7830000</v>
      </c>
      <c r="J79" s="6">
        <f>C79*J4</f>
        <v>8990000</v>
      </c>
    </row>
    <row r="80" spans="1:10">
      <c r="A80" s="14">
        <v>75</v>
      </c>
      <c r="B80" s="21" t="s">
        <v>90</v>
      </c>
      <c r="C80" s="22">
        <v>780</v>
      </c>
      <c r="D80" s="23" t="s">
        <v>26</v>
      </c>
      <c r="E80" s="23">
        <v>2</v>
      </c>
      <c r="F80" s="6">
        <f>C80*F4</f>
        <v>5070000</v>
      </c>
      <c r="G80" s="6">
        <f>C80*G4</f>
        <v>5850000</v>
      </c>
      <c r="H80" s="6">
        <f>C80*H4</f>
        <v>7410000</v>
      </c>
      <c r="I80" s="6">
        <f>C80*I4</f>
        <v>10530000</v>
      </c>
      <c r="J80" s="6">
        <f>C80*J4</f>
        <v>12090000</v>
      </c>
    </row>
    <row r="81" spans="1:10">
      <c r="A81" s="13">
        <v>76</v>
      </c>
      <c r="B81" s="25" t="s">
        <v>91</v>
      </c>
      <c r="C81" s="26">
        <v>500</v>
      </c>
      <c r="D81" s="27" t="s">
        <v>28</v>
      </c>
      <c r="E81" s="27">
        <v>0</v>
      </c>
      <c r="F81" s="41">
        <f>C81*F4</f>
        <v>3250000</v>
      </c>
      <c r="G81" s="41">
        <f>C81*G4</f>
        <v>3750000</v>
      </c>
      <c r="H81" s="41">
        <f>C81*H4</f>
        <v>4750000</v>
      </c>
      <c r="I81" s="41">
        <f>C81*I4</f>
        <v>6750000</v>
      </c>
      <c r="J81" s="41">
        <f>C81*J4</f>
        <v>7750000</v>
      </c>
    </row>
    <row r="82" spans="1:10">
      <c r="A82" s="14">
        <v>77</v>
      </c>
      <c r="B82" s="21" t="s">
        <v>91</v>
      </c>
      <c r="C82" s="22">
        <v>730</v>
      </c>
      <c r="D82" s="23" t="s">
        <v>26</v>
      </c>
      <c r="E82" s="23">
        <v>0</v>
      </c>
      <c r="F82" s="6">
        <f>C82*F4</f>
        <v>4745000</v>
      </c>
      <c r="G82" s="6">
        <f>C82*G4</f>
        <v>5475000</v>
      </c>
      <c r="H82" s="6">
        <f>C82*H4</f>
        <v>6935000</v>
      </c>
      <c r="I82" s="6">
        <f>C82*I4</f>
        <v>9855000</v>
      </c>
      <c r="J82" s="6">
        <f>C82*J4</f>
        <v>11315000</v>
      </c>
    </row>
    <row r="83" spans="1:10">
      <c r="A83" s="14">
        <v>78</v>
      </c>
      <c r="B83" s="21" t="s">
        <v>92</v>
      </c>
      <c r="C83" s="22">
        <v>650</v>
      </c>
      <c r="D83" s="23" t="s">
        <v>28</v>
      </c>
      <c r="E83" s="23">
        <v>1</v>
      </c>
      <c r="F83" s="6">
        <f>C83*F4</f>
        <v>4225000</v>
      </c>
      <c r="G83" s="6">
        <f>C83*G4</f>
        <v>4875000</v>
      </c>
      <c r="H83" s="6">
        <f>C83*H4</f>
        <v>6175000</v>
      </c>
      <c r="I83" s="6">
        <f>C83*I4</f>
        <v>8775000</v>
      </c>
      <c r="J83" s="6">
        <f>C83*J4</f>
        <v>10075000</v>
      </c>
    </row>
    <row r="84" spans="1:10">
      <c r="A84" s="13">
        <v>79</v>
      </c>
      <c r="B84" s="25" t="s">
        <v>93</v>
      </c>
      <c r="C84" s="26">
        <v>1250</v>
      </c>
      <c r="D84" s="27" t="s">
        <v>63</v>
      </c>
      <c r="E84" s="27">
        <v>2</v>
      </c>
      <c r="F84" s="41">
        <f>C84*F4</f>
        <v>8125000</v>
      </c>
      <c r="G84" s="41">
        <f>C84*G4</f>
        <v>9375000</v>
      </c>
      <c r="H84" s="41">
        <f>C84*H4</f>
        <v>11875000</v>
      </c>
      <c r="I84" s="41">
        <f>C84*I4</f>
        <v>16875000</v>
      </c>
      <c r="J84" s="41">
        <f>C84*J4</f>
        <v>19375000</v>
      </c>
    </row>
    <row r="85" spans="1:10">
      <c r="A85" s="14">
        <v>80</v>
      </c>
      <c r="B85" s="21" t="s">
        <v>94</v>
      </c>
      <c r="C85" s="22">
        <v>800</v>
      </c>
      <c r="D85" s="23" t="s">
        <v>26</v>
      </c>
      <c r="E85" s="23">
        <v>2</v>
      </c>
      <c r="F85" s="6">
        <f>C85*F4</f>
        <v>5200000</v>
      </c>
      <c r="G85" s="6">
        <f>C85*G4</f>
        <v>6000000</v>
      </c>
      <c r="H85" s="6">
        <f>C85*H4</f>
        <v>7600000</v>
      </c>
      <c r="I85" s="6">
        <f>C85*I4</f>
        <v>10800000</v>
      </c>
      <c r="J85" s="6">
        <f>C85*J4</f>
        <v>12400000</v>
      </c>
    </row>
    <row r="86" spans="1:10">
      <c r="A86" s="14">
        <v>81</v>
      </c>
      <c r="B86" s="21" t="s">
        <v>161</v>
      </c>
      <c r="C86" s="22">
        <v>720</v>
      </c>
      <c r="D86" s="23" t="s">
        <v>26</v>
      </c>
      <c r="E86" s="23">
        <v>2</v>
      </c>
      <c r="F86" s="6">
        <f>C86*F4</f>
        <v>4680000</v>
      </c>
      <c r="G86" s="6">
        <f>C86*G4</f>
        <v>5400000</v>
      </c>
      <c r="H86" s="6">
        <f>C86*H4</f>
        <v>6840000</v>
      </c>
      <c r="I86" s="6">
        <f>C86*I4</f>
        <v>9720000</v>
      </c>
      <c r="J86" s="6">
        <f>C86*J4</f>
        <v>11160000</v>
      </c>
    </row>
    <row r="87" spans="1:10">
      <c r="A87" s="14">
        <v>82</v>
      </c>
      <c r="B87" s="21" t="s">
        <v>95</v>
      </c>
      <c r="C87" s="22">
        <v>1300</v>
      </c>
      <c r="D87" s="23" t="s">
        <v>34</v>
      </c>
      <c r="E87" s="23"/>
      <c r="F87" s="6">
        <f>F4*C87</f>
        <v>8450000</v>
      </c>
      <c r="G87" s="6">
        <f>G4*C87</f>
        <v>9750000</v>
      </c>
      <c r="H87" s="6">
        <f>H4*C87</f>
        <v>12350000</v>
      </c>
      <c r="I87" s="6">
        <f>I4*C87</f>
        <v>17550000</v>
      </c>
      <c r="J87" s="6">
        <f>J4*C87</f>
        <v>20150000</v>
      </c>
    </row>
    <row r="88" spans="1:10">
      <c r="A88" s="14">
        <v>83</v>
      </c>
      <c r="B88" s="21" t="s">
        <v>96</v>
      </c>
      <c r="C88" s="22">
        <v>1200</v>
      </c>
      <c r="D88" s="23" t="s">
        <v>34</v>
      </c>
      <c r="E88" s="23">
        <v>3</v>
      </c>
      <c r="F88" s="6">
        <f>C88*F4</f>
        <v>7800000</v>
      </c>
      <c r="G88" s="6">
        <f>C88*G4</f>
        <v>9000000</v>
      </c>
      <c r="H88" s="6">
        <f>C88*H4</f>
        <v>11400000</v>
      </c>
      <c r="I88" s="6">
        <f>C88*I4</f>
        <v>16200000</v>
      </c>
      <c r="J88" s="6">
        <f>C88*J4</f>
        <v>18600000</v>
      </c>
    </row>
    <row r="89" spans="1:10">
      <c r="A89" s="13">
        <v>84</v>
      </c>
      <c r="B89" s="25" t="s">
        <v>97</v>
      </c>
      <c r="C89" s="26">
        <v>550</v>
      </c>
      <c r="D89" s="27" t="s">
        <v>28</v>
      </c>
      <c r="E89" s="27">
        <v>1</v>
      </c>
      <c r="F89" s="41">
        <f>C89*F4</f>
        <v>3575000</v>
      </c>
      <c r="G89" s="41">
        <f>C89*G4</f>
        <v>4125000</v>
      </c>
      <c r="H89" s="41">
        <f>C89*H4</f>
        <v>5225000</v>
      </c>
      <c r="I89" s="41">
        <f>C89*I4</f>
        <v>7425000</v>
      </c>
      <c r="J89" s="41">
        <f>C89*J4</f>
        <v>8525000</v>
      </c>
    </row>
    <row r="90" spans="1:10">
      <c r="A90" s="14">
        <v>85</v>
      </c>
      <c r="B90" s="21" t="s">
        <v>98</v>
      </c>
      <c r="C90" s="22">
        <v>400</v>
      </c>
      <c r="D90" s="23">
        <v>1</v>
      </c>
      <c r="E90" s="23">
        <v>0</v>
      </c>
      <c r="F90" s="6">
        <f>C90*F4</f>
        <v>2600000</v>
      </c>
      <c r="G90" s="6">
        <f>C90*G4</f>
        <v>3000000</v>
      </c>
      <c r="H90" s="6">
        <f>C90*H4</f>
        <v>3800000</v>
      </c>
      <c r="I90" s="6">
        <f>C90*I4</f>
        <v>5400000</v>
      </c>
      <c r="J90" s="6">
        <f>C90*J4</f>
        <v>6200000</v>
      </c>
    </row>
    <row r="91" spans="1:10">
      <c r="A91" s="14">
        <v>86</v>
      </c>
      <c r="B91" s="21" t="s">
        <v>99</v>
      </c>
      <c r="C91" s="22">
        <v>980</v>
      </c>
      <c r="D91" s="23" t="s">
        <v>28</v>
      </c>
      <c r="E91" s="23">
        <v>1</v>
      </c>
      <c r="F91" s="6">
        <f>C91*F4</f>
        <v>6370000</v>
      </c>
      <c r="G91" s="6">
        <f>C91*G4</f>
        <v>7350000</v>
      </c>
      <c r="H91" s="6">
        <f>C91*H4</f>
        <v>9310000</v>
      </c>
      <c r="I91" s="6">
        <f>C91*I4</f>
        <v>13230000</v>
      </c>
      <c r="J91" s="6">
        <f>C91*J4</f>
        <v>15190000</v>
      </c>
    </row>
    <row r="92" spans="1:10">
      <c r="A92" s="14">
        <v>87</v>
      </c>
      <c r="B92" s="21" t="s">
        <v>100</v>
      </c>
      <c r="C92" s="22">
        <v>440</v>
      </c>
      <c r="D92" s="23">
        <v>1</v>
      </c>
      <c r="E92" s="23">
        <v>0</v>
      </c>
      <c r="F92" s="6">
        <f>C92*F4</f>
        <v>2860000</v>
      </c>
      <c r="G92" s="6">
        <f>C92*G4</f>
        <v>3300000</v>
      </c>
      <c r="H92" s="6">
        <f>C92*H4</f>
        <v>4180000</v>
      </c>
      <c r="I92" s="6">
        <f>C92*I4</f>
        <v>5940000</v>
      </c>
      <c r="J92" s="6">
        <f>C92*J4</f>
        <v>6820000</v>
      </c>
    </row>
    <row r="93" spans="1:10">
      <c r="A93" s="14">
        <v>88</v>
      </c>
      <c r="B93" s="21" t="s">
        <v>101</v>
      </c>
      <c r="C93" s="22">
        <v>440</v>
      </c>
      <c r="D93" s="23">
        <v>1</v>
      </c>
      <c r="E93" s="23">
        <v>0</v>
      </c>
      <c r="F93" s="6">
        <f>C93*F4</f>
        <v>2860000</v>
      </c>
      <c r="G93" s="6">
        <f>C93*G4</f>
        <v>3300000</v>
      </c>
      <c r="H93" s="6">
        <f>C93*H4</f>
        <v>4180000</v>
      </c>
      <c r="I93" s="6">
        <f>C93*I4</f>
        <v>5940000</v>
      </c>
      <c r="J93" s="6">
        <f>C93*J4</f>
        <v>6820000</v>
      </c>
    </row>
    <row r="94" spans="1:10">
      <c r="A94" s="70">
        <v>89</v>
      </c>
      <c r="B94" s="71" t="s">
        <v>102</v>
      </c>
      <c r="C94" s="72">
        <v>450</v>
      </c>
      <c r="D94" s="73" t="s">
        <v>28</v>
      </c>
      <c r="E94" s="73">
        <v>1</v>
      </c>
      <c r="F94" s="74">
        <f>C94*F4</f>
        <v>2925000</v>
      </c>
      <c r="G94" s="74">
        <f>C94*G4</f>
        <v>3375000</v>
      </c>
      <c r="H94" s="74">
        <f>C94*H4</f>
        <v>4275000</v>
      </c>
      <c r="I94" s="74">
        <f>C94*I4</f>
        <v>6075000</v>
      </c>
      <c r="J94" s="74">
        <f>C94*J4</f>
        <v>6975000</v>
      </c>
    </row>
    <row r="95" spans="1:10">
      <c r="A95" s="14">
        <v>90</v>
      </c>
      <c r="B95" s="21" t="s">
        <v>103</v>
      </c>
      <c r="C95" s="22">
        <v>800</v>
      </c>
      <c r="D95" s="23" t="s">
        <v>26</v>
      </c>
      <c r="E95" s="23">
        <v>2</v>
      </c>
      <c r="F95" s="6">
        <f>C95*F4</f>
        <v>5200000</v>
      </c>
      <c r="G95" s="6">
        <f>C95*G4</f>
        <v>6000000</v>
      </c>
      <c r="H95" s="6">
        <f>C95*H4</f>
        <v>7600000</v>
      </c>
      <c r="I95" s="6">
        <f>C95*I4</f>
        <v>10800000</v>
      </c>
      <c r="J95" s="6">
        <f>C95*J4</f>
        <v>12400000</v>
      </c>
    </row>
    <row r="96" spans="1:10">
      <c r="A96" s="14">
        <v>91</v>
      </c>
      <c r="B96" s="21" t="s">
        <v>104</v>
      </c>
      <c r="C96" s="22">
        <v>890</v>
      </c>
      <c r="D96" s="23" t="s">
        <v>26</v>
      </c>
      <c r="E96" s="23">
        <v>2</v>
      </c>
      <c r="F96" s="6">
        <f>C96*F4</f>
        <v>5785000</v>
      </c>
      <c r="G96" s="6">
        <f>C96*G4</f>
        <v>6675000</v>
      </c>
      <c r="H96" s="6">
        <f>C96*H4</f>
        <v>8455000</v>
      </c>
      <c r="I96" s="6">
        <f>C96*I4</f>
        <v>12015000</v>
      </c>
      <c r="J96" s="6">
        <f>C96*J4</f>
        <v>13795000</v>
      </c>
    </row>
    <row r="97" spans="1:10">
      <c r="A97" s="14">
        <v>92</v>
      </c>
      <c r="B97" s="21" t="s">
        <v>105</v>
      </c>
      <c r="C97" s="22">
        <v>1540</v>
      </c>
      <c r="D97" s="23" t="s">
        <v>63</v>
      </c>
      <c r="E97" s="23">
        <v>4</v>
      </c>
      <c r="F97" s="6">
        <f>C97*F4</f>
        <v>10010000</v>
      </c>
      <c r="G97" s="6">
        <f>C97*G4</f>
        <v>11550000</v>
      </c>
      <c r="H97" s="6">
        <f>C97*H4</f>
        <v>14630000</v>
      </c>
      <c r="I97" s="6">
        <f>C97*I4</f>
        <v>20790000</v>
      </c>
      <c r="J97" s="6">
        <f>C97*J4</f>
        <v>23870000</v>
      </c>
    </row>
    <row r="98" spans="1:10">
      <c r="A98" s="14">
        <v>93</v>
      </c>
      <c r="B98" s="21" t="s">
        <v>106</v>
      </c>
      <c r="C98" s="22">
        <v>880</v>
      </c>
      <c r="D98" s="23"/>
      <c r="E98" s="23">
        <v>0</v>
      </c>
      <c r="F98" s="6">
        <f>C98*F4</f>
        <v>5720000</v>
      </c>
      <c r="G98" s="6">
        <f>C98*G4</f>
        <v>6600000</v>
      </c>
      <c r="H98" s="6">
        <f>C98*H4</f>
        <v>8360000</v>
      </c>
      <c r="I98" s="6">
        <f>C98*I4</f>
        <v>11880000</v>
      </c>
      <c r="J98" s="6">
        <f>C98*J4</f>
        <v>13640000</v>
      </c>
    </row>
    <row r="99" spans="1:10">
      <c r="A99" s="70">
        <v>94</v>
      </c>
      <c r="B99" s="71" t="s">
        <v>107</v>
      </c>
      <c r="C99" s="72">
        <v>980</v>
      </c>
      <c r="D99" s="73" t="s">
        <v>28</v>
      </c>
      <c r="E99" s="73">
        <v>1</v>
      </c>
      <c r="F99" s="74">
        <f>C99*F4</f>
        <v>6370000</v>
      </c>
      <c r="G99" s="74">
        <f>C99*G4</f>
        <v>7350000</v>
      </c>
      <c r="H99" s="74">
        <f>C99*H4</f>
        <v>9310000</v>
      </c>
      <c r="I99" s="74">
        <f>C99*I4</f>
        <v>13230000</v>
      </c>
      <c r="J99" s="74">
        <f>C99*J4</f>
        <v>15190000</v>
      </c>
    </row>
    <row r="100" spans="1:10">
      <c r="A100" s="14">
        <v>95</v>
      </c>
      <c r="B100" s="21" t="s">
        <v>108</v>
      </c>
      <c r="C100" s="22">
        <v>2550</v>
      </c>
      <c r="D100" s="23" t="s">
        <v>70</v>
      </c>
      <c r="E100" s="23">
        <v>6</v>
      </c>
      <c r="F100" s="6">
        <f>C100*F4</f>
        <v>16575000</v>
      </c>
      <c r="G100" s="6">
        <f>C100*G4</f>
        <v>19125000</v>
      </c>
      <c r="H100" s="6">
        <f>C100*H4</f>
        <v>24225000</v>
      </c>
      <c r="I100" s="6">
        <f>C100*I4</f>
        <v>34425000</v>
      </c>
      <c r="J100" s="6">
        <f>C100*J4</f>
        <v>39525000</v>
      </c>
    </row>
    <row r="101" spans="1:10">
      <c r="A101" s="14">
        <v>96</v>
      </c>
      <c r="B101" s="21" t="s">
        <v>109</v>
      </c>
      <c r="C101" s="22">
        <v>2630</v>
      </c>
      <c r="D101" s="23" t="s">
        <v>110</v>
      </c>
      <c r="E101" s="23">
        <v>7</v>
      </c>
      <c r="F101" s="6">
        <f>C101*F4</f>
        <v>17095000</v>
      </c>
      <c r="G101" s="6">
        <f>C101*G4</f>
        <v>19725000</v>
      </c>
      <c r="H101" s="6">
        <f>C101*H4</f>
        <v>24985000</v>
      </c>
      <c r="I101" s="6">
        <f>C101*I4</f>
        <v>35505000</v>
      </c>
      <c r="J101" s="6">
        <f>C101*J4</f>
        <v>40765000</v>
      </c>
    </row>
    <row r="102" spans="1:10">
      <c r="A102" s="14">
        <v>97</v>
      </c>
      <c r="B102" s="21" t="s">
        <v>111</v>
      </c>
      <c r="C102" s="22">
        <v>580</v>
      </c>
      <c r="D102" s="23" t="s">
        <v>28</v>
      </c>
      <c r="E102" s="23">
        <v>1</v>
      </c>
      <c r="F102" s="6">
        <f>C102*F4</f>
        <v>3770000</v>
      </c>
      <c r="G102" s="6">
        <f>C102*G4</f>
        <v>4350000</v>
      </c>
      <c r="H102" s="6">
        <f>C102*H4</f>
        <v>5510000</v>
      </c>
      <c r="I102" s="6">
        <f>C102*I4</f>
        <v>7830000</v>
      </c>
      <c r="J102" s="6">
        <f>C102*J4</f>
        <v>8990000</v>
      </c>
    </row>
    <row r="103" spans="1:10">
      <c r="A103" s="14">
        <v>98</v>
      </c>
      <c r="B103" s="21" t="s">
        <v>112</v>
      </c>
      <c r="C103" s="22">
        <v>780</v>
      </c>
      <c r="D103" s="23" t="s">
        <v>21</v>
      </c>
      <c r="E103" s="23">
        <v>0</v>
      </c>
      <c r="F103" s="6">
        <f>C103*F4</f>
        <v>5070000</v>
      </c>
      <c r="G103" s="6">
        <f>C103*G4</f>
        <v>5850000</v>
      </c>
      <c r="H103" s="6">
        <f>C103*H4</f>
        <v>7410000</v>
      </c>
      <c r="I103" s="6">
        <f>C103*I4</f>
        <v>10530000</v>
      </c>
      <c r="J103" s="6">
        <f>C103*J4</f>
        <v>12090000</v>
      </c>
    </row>
    <row r="104" spans="1:10">
      <c r="A104" s="14">
        <v>99</v>
      </c>
      <c r="B104" s="21" t="s">
        <v>113</v>
      </c>
      <c r="C104" s="22">
        <v>600</v>
      </c>
      <c r="D104" s="23"/>
      <c r="E104" s="23">
        <v>0</v>
      </c>
      <c r="F104" s="6">
        <f>C104*F4</f>
        <v>3900000</v>
      </c>
      <c r="G104" s="6">
        <f>C104*G4</f>
        <v>4500000</v>
      </c>
      <c r="H104" s="6">
        <f>C104*H4</f>
        <v>5700000</v>
      </c>
      <c r="I104" s="6">
        <f>C104*I4</f>
        <v>8100000</v>
      </c>
      <c r="J104" s="6">
        <f>C104*J4</f>
        <v>9300000</v>
      </c>
    </row>
    <row r="105" spans="1:10">
      <c r="A105" s="14">
        <v>100</v>
      </c>
      <c r="B105" s="21" t="s">
        <v>114</v>
      </c>
      <c r="C105" s="22">
        <v>1000</v>
      </c>
      <c r="D105" s="23" t="s">
        <v>34</v>
      </c>
      <c r="E105" s="23">
        <v>3</v>
      </c>
      <c r="F105" s="6">
        <f>C105*F4</f>
        <v>6500000</v>
      </c>
      <c r="G105" s="6">
        <f>C105*G4</f>
        <v>7500000</v>
      </c>
      <c r="H105" s="6">
        <f>C105*H4</f>
        <v>9500000</v>
      </c>
      <c r="I105" s="6">
        <f>C105*I4</f>
        <v>13500000</v>
      </c>
      <c r="J105" s="6">
        <f>C105*J4</f>
        <v>15500000</v>
      </c>
    </row>
    <row r="106" spans="1:10">
      <c r="A106" s="14">
        <v>101</v>
      </c>
      <c r="B106" s="21" t="s">
        <v>115</v>
      </c>
      <c r="C106" s="22">
        <v>250</v>
      </c>
      <c r="D106" s="23" t="s">
        <v>21</v>
      </c>
      <c r="E106" s="23">
        <v>0</v>
      </c>
      <c r="F106" s="6">
        <f>C106*F4</f>
        <v>1625000</v>
      </c>
      <c r="G106" s="6">
        <f>C106*G4</f>
        <v>1875000</v>
      </c>
      <c r="H106" s="6">
        <f>C106*H4</f>
        <v>2375000</v>
      </c>
      <c r="I106" s="6">
        <f>C106*I4</f>
        <v>3375000</v>
      </c>
      <c r="J106" s="6">
        <f>C106*J4</f>
        <v>3875000</v>
      </c>
    </row>
    <row r="107" spans="1:10">
      <c r="A107" s="14">
        <v>102</v>
      </c>
      <c r="B107" s="21" t="s">
        <v>116</v>
      </c>
      <c r="C107" s="22">
        <v>250</v>
      </c>
      <c r="D107" s="23" t="s">
        <v>21</v>
      </c>
      <c r="E107" s="23">
        <v>0</v>
      </c>
      <c r="F107" s="6">
        <f>C107*F4</f>
        <v>1625000</v>
      </c>
      <c r="G107" s="6">
        <f>C107*G4</f>
        <v>1875000</v>
      </c>
      <c r="H107" s="6">
        <f>C107*H4</f>
        <v>2375000</v>
      </c>
      <c r="I107" s="6">
        <f>C107*I4</f>
        <v>3375000</v>
      </c>
      <c r="J107" s="6">
        <f>C107*J4</f>
        <v>3875000</v>
      </c>
    </row>
    <row r="108" spans="1:10">
      <c r="A108" s="14">
        <v>103</v>
      </c>
      <c r="B108" s="21" t="s">
        <v>117</v>
      </c>
      <c r="C108" s="22">
        <v>220</v>
      </c>
      <c r="D108" s="23" t="s">
        <v>21</v>
      </c>
      <c r="E108" s="23">
        <v>0</v>
      </c>
      <c r="F108" s="6">
        <f>C108*F4</f>
        <v>1430000</v>
      </c>
      <c r="G108" s="6">
        <f>C108*G4</f>
        <v>1650000</v>
      </c>
      <c r="H108" s="6">
        <f>C108*H4</f>
        <v>2090000</v>
      </c>
      <c r="I108" s="6">
        <f>C108*I4</f>
        <v>2970000</v>
      </c>
      <c r="J108" s="6">
        <f>C108*J4</f>
        <v>3410000</v>
      </c>
    </row>
    <row r="109" spans="1:10">
      <c r="A109" s="14">
        <v>104</v>
      </c>
      <c r="B109" s="35" t="s">
        <v>118</v>
      </c>
      <c r="C109" s="22">
        <v>750</v>
      </c>
      <c r="D109" s="23" t="s">
        <v>119</v>
      </c>
      <c r="E109" s="23">
        <v>2</v>
      </c>
      <c r="F109" s="6">
        <f>C109*F4</f>
        <v>4875000</v>
      </c>
      <c r="G109" s="6">
        <f>C109*G4</f>
        <v>5625000</v>
      </c>
      <c r="H109" s="6">
        <f>C109*H4</f>
        <v>7125000</v>
      </c>
      <c r="I109" s="6">
        <f>C109*I4</f>
        <v>10125000</v>
      </c>
      <c r="J109" s="6">
        <f>C109*J4</f>
        <v>11625000</v>
      </c>
    </row>
    <row r="110" spans="1:10">
      <c r="A110" s="14">
        <v>105</v>
      </c>
      <c r="B110" s="35" t="s">
        <v>120</v>
      </c>
      <c r="C110" s="22">
        <v>500</v>
      </c>
      <c r="D110" s="23" t="s">
        <v>28</v>
      </c>
      <c r="E110" s="23">
        <v>1</v>
      </c>
      <c r="F110" s="6">
        <f>C110*F4</f>
        <v>3250000</v>
      </c>
      <c r="G110" s="6">
        <f>C110*G4</f>
        <v>3750000</v>
      </c>
      <c r="H110" s="6">
        <f>C110*H4</f>
        <v>4750000</v>
      </c>
      <c r="I110" s="6">
        <f>C110*I4</f>
        <v>6750000</v>
      </c>
      <c r="J110" s="6">
        <f>C110*J4</f>
        <v>7750000</v>
      </c>
    </row>
    <row r="111" spans="1:10">
      <c r="A111" s="13">
        <v>106</v>
      </c>
      <c r="B111" s="25" t="s">
        <v>121</v>
      </c>
      <c r="C111" s="26">
        <v>300</v>
      </c>
      <c r="D111" s="27" t="s">
        <v>21</v>
      </c>
      <c r="E111" s="27">
        <v>0</v>
      </c>
      <c r="F111" s="41">
        <f>C111*F4</f>
        <v>1950000</v>
      </c>
      <c r="G111" s="41">
        <f>C111*G4</f>
        <v>2250000</v>
      </c>
      <c r="H111" s="41">
        <f>C111*H4</f>
        <v>2850000</v>
      </c>
      <c r="I111" s="41">
        <f>C111*I4</f>
        <v>4050000</v>
      </c>
      <c r="J111" s="41">
        <f>C111*J4</f>
        <v>4650000</v>
      </c>
    </row>
    <row r="112" spans="1:10">
      <c r="A112" s="14">
        <v>107</v>
      </c>
      <c r="B112" s="21" t="s">
        <v>121</v>
      </c>
      <c r="C112" s="22">
        <v>450</v>
      </c>
      <c r="D112" s="23" t="s">
        <v>28</v>
      </c>
      <c r="E112" s="23">
        <v>1</v>
      </c>
      <c r="F112" s="6">
        <f>C112*F4</f>
        <v>2925000</v>
      </c>
      <c r="G112" s="6">
        <f>C112*G4</f>
        <v>3375000</v>
      </c>
      <c r="H112" s="6">
        <f>C112*H4</f>
        <v>4275000</v>
      </c>
      <c r="I112" s="6">
        <f>C112*I4</f>
        <v>6075000</v>
      </c>
      <c r="J112" s="6">
        <f>C112*J4</f>
        <v>6975000</v>
      </c>
    </row>
    <row r="113" spans="1:10">
      <c r="A113" s="14">
        <v>108</v>
      </c>
      <c r="B113" s="21" t="s">
        <v>122</v>
      </c>
      <c r="C113" s="22">
        <v>360</v>
      </c>
      <c r="D113" s="23" t="s">
        <v>21</v>
      </c>
      <c r="E113" s="23">
        <v>0</v>
      </c>
      <c r="F113" s="6">
        <f>C113*F4</f>
        <v>2340000</v>
      </c>
      <c r="G113" s="6">
        <f>C113*G4</f>
        <v>2700000</v>
      </c>
      <c r="H113" s="6">
        <f>C113*H4</f>
        <v>3420000</v>
      </c>
      <c r="I113" s="6">
        <f>C113*I4</f>
        <v>4860000</v>
      </c>
      <c r="J113" s="6">
        <f>C113*J4</f>
        <v>5580000</v>
      </c>
    </row>
    <row r="114" spans="1:10">
      <c r="A114" s="70">
        <v>109</v>
      </c>
      <c r="B114" s="71" t="s">
        <v>122</v>
      </c>
      <c r="C114" s="72">
        <v>500</v>
      </c>
      <c r="D114" s="73" t="s">
        <v>28</v>
      </c>
      <c r="E114" s="73">
        <v>1</v>
      </c>
      <c r="F114" s="74">
        <f>C114*F4</f>
        <v>3250000</v>
      </c>
      <c r="G114" s="74">
        <f>C114*G4</f>
        <v>3750000</v>
      </c>
      <c r="H114" s="74">
        <f>C114*H4</f>
        <v>4750000</v>
      </c>
      <c r="I114" s="74">
        <f>C114*I4</f>
        <v>6750000</v>
      </c>
      <c r="J114" s="74">
        <f>C114*J4</f>
        <v>7750000</v>
      </c>
    </row>
    <row r="115" spans="1:10">
      <c r="A115" s="14">
        <v>110</v>
      </c>
      <c r="B115" s="21" t="s">
        <v>123</v>
      </c>
      <c r="C115" s="22">
        <v>780</v>
      </c>
      <c r="D115" s="23" t="s">
        <v>28</v>
      </c>
      <c r="E115" s="23">
        <v>1</v>
      </c>
      <c r="F115" s="6">
        <f>C115*F4</f>
        <v>5070000</v>
      </c>
      <c r="G115" s="6">
        <f>C115*G4</f>
        <v>5850000</v>
      </c>
      <c r="H115" s="6">
        <f>C115*H4</f>
        <v>7410000</v>
      </c>
      <c r="I115" s="6">
        <f>C115*I4</f>
        <v>10530000</v>
      </c>
      <c r="J115" s="6">
        <f>C115*J4</f>
        <v>12090000</v>
      </c>
    </row>
    <row r="116" spans="1:10">
      <c r="A116" s="14">
        <v>111</v>
      </c>
      <c r="B116" s="21" t="s">
        <v>124</v>
      </c>
      <c r="C116" s="22">
        <v>990</v>
      </c>
      <c r="D116" s="23" t="s">
        <v>26</v>
      </c>
      <c r="E116" s="23">
        <v>2</v>
      </c>
      <c r="F116" s="6">
        <f>C116*F4</f>
        <v>6435000</v>
      </c>
      <c r="G116" s="6">
        <f>C116*G4</f>
        <v>7425000</v>
      </c>
      <c r="H116" s="6">
        <f>C116*H4</f>
        <v>9405000</v>
      </c>
      <c r="I116" s="6">
        <f>C116*I4</f>
        <v>13365000</v>
      </c>
      <c r="J116" s="6">
        <f>C116*J4</f>
        <v>15345000</v>
      </c>
    </row>
    <row r="117" spans="1:10">
      <c r="A117" s="14">
        <v>112</v>
      </c>
      <c r="B117" s="21" t="s">
        <v>125</v>
      </c>
      <c r="C117" s="22">
        <v>3260</v>
      </c>
      <c r="D117" s="23" t="s">
        <v>126</v>
      </c>
      <c r="E117" s="23">
        <v>8</v>
      </c>
      <c r="F117" s="6">
        <f>C117*F4</f>
        <v>21190000</v>
      </c>
      <c r="G117" s="6">
        <f>C117*G4</f>
        <v>24450000</v>
      </c>
      <c r="H117" s="6">
        <f>C117*H4</f>
        <v>30970000</v>
      </c>
      <c r="I117" s="6">
        <f>C117*I4</f>
        <v>44010000</v>
      </c>
      <c r="J117" s="6">
        <f>C117*J4</f>
        <v>50530000</v>
      </c>
    </row>
    <row r="118" spans="1:10">
      <c r="A118" s="14">
        <v>113</v>
      </c>
      <c r="B118" s="21" t="s">
        <v>127</v>
      </c>
      <c r="C118" s="22">
        <v>600</v>
      </c>
      <c r="D118" s="23"/>
      <c r="E118" s="23">
        <v>0</v>
      </c>
      <c r="F118" s="6">
        <f>C118*F4</f>
        <v>3900000</v>
      </c>
      <c r="G118" s="6">
        <f>C118*G4</f>
        <v>4500000</v>
      </c>
      <c r="H118" s="6">
        <f>C118*H4</f>
        <v>5700000</v>
      </c>
      <c r="I118" s="6">
        <f>C118*I4</f>
        <v>8100000</v>
      </c>
      <c r="J118" s="6">
        <f>C118*J4</f>
        <v>9300000</v>
      </c>
    </row>
    <row r="119" spans="1:10" ht="14.25" customHeight="1">
      <c r="A119" s="70">
        <v>114</v>
      </c>
      <c r="B119" s="71" t="s">
        <v>128</v>
      </c>
      <c r="C119" s="72">
        <v>960</v>
      </c>
      <c r="D119" s="73" t="s">
        <v>26</v>
      </c>
      <c r="E119" s="73">
        <v>2</v>
      </c>
      <c r="F119" s="74">
        <f>C119*F4</f>
        <v>6240000</v>
      </c>
      <c r="G119" s="74">
        <f>C119*G4</f>
        <v>7200000</v>
      </c>
      <c r="H119" s="74">
        <f>C119*H4</f>
        <v>9120000</v>
      </c>
      <c r="I119" s="74">
        <f>C119*I4</f>
        <v>12960000</v>
      </c>
      <c r="J119" s="74">
        <f>C119*J4</f>
        <v>14880000</v>
      </c>
    </row>
    <row r="120" spans="1:10">
      <c r="A120" s="14">
        <v>115</v>
      </c>
      <c r="B120" s="21" t="s">
        <v>129</v>
      </c>
      <c r="C120" s="22">
        <v>1040</v>
      </c>
      <c r="D120" s="23" t="s">
        <v>26</v>
      </c>
      <c r="E120" s="23">
        <v>2</v>
      </c>
      <c r="F120" s="6">
        <f>C120*F4</f>
        <v>6760000</v>
      </c>
      <c r="G120" s="6">
        <f>C120*G4</f>
        <v>7800000</v>
      </c>
      <c r="H120" s="6">
        <f>C120*H4</f>
        <v>9880000</v>
      </c>
      <c r="I120" s="6">
        <f>C120*I4</f>
        <v>14040000</v>
      </c>
      <c r="J120" s="6">
        <f>C120*J4</f>
        <v>16120000</v>
      </c>
    </row>
    <row r="121" spans="1:10">
      <c r="A121" s="14">
        <v>116</v>
      </c>
      <c r="B121" s="21" t="s">
        <v>130</v>
      </c>
      <c r="C121" s="22">
        <v>1100</v>
      </c>
      <c r="D121" s="23" t="s">
        <v>26</v>
      </c>
      <c r="E121" s="23">
        <v>2</v>
      </c>
      <c r="F121" s="6">
        <f>C121*F4</f>
        <v>7150000</v>
      </c>
      <c r="G121" s="6">
        <f>C121*G4</f>
        <v>8250000</v>
      </c>
      <c r="H121" s="6">
        <f>C121*H4</f>
        <v>10450000</v>
      </c>
      <c r="I121" s="6">
        <f>C121*I4</f>
        <v>14850000</v>
      </c>
      <c r="J121" s="6">
        <f>C121*J4</f>
        <v>17050000</v>
      </c>
    </row>
    <row r="122" spans="1:10">
      <c r="A122" s="14">
        <v>117</v>
      </c>
      <c r="B122" s="21" t="s">
        <v>130</v>
      </c>
      <c r="C122" s="22">
        <v>1380</v>
      </c>
      <c r="D122" s="23" t="s">
        <v>34</v>
      </c>
      <c r="E122" s="23">
        <v>3</v>
      </c>
      <c r="F122" s="6">
        <f>C122*F4</f>
        <v>8970000</v>
      </c>
      <c r="G122" s="6">
        <f>C122*G4</f>
        <v>10350000</v>
      </c>
      <c r="H122" s="6">
        <f>C122*H4</f>
        <v>13110000</v>
      </c>
      <c r="I122" s="6">
        <f>C122*I4</f>
        <v>18630000</v>
      </c>
      <c r="J122" s="6">
        <f>C122*J4</f>
        <v>21390000</v>
      </c>
    </row>
    <row r="123" spans="1:10" ht="13.5" customHeight="1">
      <c r="A123" s="13">
        <v>118</v>
      </c>
      <c r="B123" s="25" t="s">
        <v>131</v>
      </c>
      <c r="C123" s="26">
        <v>1000</v>
      </c>
      <c r="D123" s="27" t="s">
        <v>26</v>
      </c>
      <c r="E123" s="27">
        <v>2</v>
      </c>
      <c r="F123" s="41">
        <f>C123*F4</f>
        <v>6500000</v>
      </c>
      <c r="G123" s="41">
        <f>C123*G4</f>
        <v>7500000</v>
      </c>
      <c r="H123" s="41">
        <f>C123*H4</f>
        <v>9500000</v>
      </c>
      <c r="I123" s="41">
        <f>C123*I4</f>
        <v>13500000</v>
      </c>
      <c r="J123" s="41">
        <f>C123*J4</f>
        <v>15500000</v>
      </c>
    </row>
    <row r="124" spans="1:10">
      <c r="A124" s="14">
        <v>119</v>
      </c>
      <c r="B124" s="21" t="s">
        <v>132</v>
      </c>
      <c r="C124" s="22">
        <v>1310</v>
      </c>
      <c r="D124" s="23" t="s">
        <v>34</v>
      </c>
      <c r="E124" s="23">
        <v>3</v>
      </c>
      <c r="F124" s="6">
        <f>C124*F4</f>
        <v>8515000</v>
      </c>
      <c r="G124" s="6">
        <f>C124*G4</f>
        <v>9825000</v>
      </c>
      <c r="H124" s="6">
        <f>C124*H4</f>
        <v>12445000</v>
      </c>
      <c r="I124" s="6">
        <f>C124*I4</f>
        <v>17685000</v>
      </c>
      <c r="J124" s="6">
        <f>C124*J4</f>
        <v>20305000</v>
      </c>
    </row>
    <row r="125" spans="1:10">
      <c r="A125" s="14">
        <v>120</v>
      </c>
      <c r="B125" s="21" t="s">
        <v>133</v>
      </c>
      <c r="C125" s="22">
        <v>1490</v>
      </c>
      <c r="D125" s="23" t="s">
        <v>63</v>
      </c>
      <c r="E125" s="23">
        <v>4</v>
      </c>
      <c r="F125" s="6">
        <f>C125*F4</f>
        <v>9685000</v>
      </c>
      <c r="G125" s="6">
        <f>C125*G4</f>
        <v>11175000</v>
      </c>
      <c r="H125" s="6">
        <f>C125*H4</f>
        <v>14155000</v>
      </c>
      <c r="I125" s="6">
        <f>C125*I4</f>
        <v>20115000</v>
      </c>
      <c r="J125" s="6">
        <f>C125*J4</f>
        <v>23095000</v>
      </c>
    </row>
    <row r="126" spans="1:10" ht="14.15" customHeight="1">
      <c r="A126" s="63">
        <v>121</v>
      </c>
      <c r="B126" s="21" t="s">
        <v>134</v>
      </c>
      <c r="C126" s="64">
        <v>2650</v>
      </c>
      <c r="D126" s="36" t="s">
        <v>110</v>
      </c>
      <c r="E126" s="36">
        <v>7</v>
      </c>
      <c r="F126" s="65">
        <f>C126*F4</f>
        <v>17225000</v>
      </c>
      <c r="G126" s="65">
        <f>C126*G4</f>
        <v>19875000</v>
      </c>
      <c r="H126" s="65">
        <f>C126*H4</f>
        <v>25175000</v>
      </c>
      <c r="I126" s="65">
        <f>C126*I4</f>
        <v>35775000</v>
      </c>
      <c r="J126" s="65">
        <f>C126*J4</f>
        <v>41075000</v>
      </c>
    </row>
    <row r="127" spans="1:10" ht="14.25" customHeight="1">
      <c r="A127" s="75">
        <v>122</v>
      </c>
      <c r="B127" s="76" t="s">
        <v>135</v>
      </c>
      <c r="C127" s="77">
        <v>3000</v>
      </c>
      <c r="D127" s="78" t="s">
        <v>126</v>
      </c>
      <c r="E127" s="78">
        <v>8</v>
      </c>
      <c r="F127" s="79">
        <f>C127*F4</f>
        <v>19500000</v>
      </c>
      <c r="G127" s="79">
        <f>C127*G4</f>
        <v>22500000</v>
      </c>
      <c r="H127" s="79">
        <f>C127*H4</f>
        <v>28500000</v>
      </c>
      <c r="I127" s="79">
        <f>C127*I4</f>
        <v>40500000</v>
      </c>
      <c r="J127" s="79">
        <f>C127*J4</f>
        <v>46500000</v>
      </c>
    </row>
    <row r="128" spans="1:10" ht="17.25" customHeight="1">
      <c r="A128" s="14">
        <v>123</v>
      </c>
      <c r="B128" s="21" t="s">
        <v>136</v>
      </c>
      <c r="C128" s="22">
        <v>3500</v>
      </c>
      <c r="D128" s="23" t="s">
        <v>137</v>
      </c>
      <c r="E128" s="23">
        <v>11</v>
      </c>
      <c r="F128" s="6">
        <f>C128*F4</f>
        <v>22750000</v>
      </c>
      <c r="G128" s="6">
        <f>C128*G4</f>
        <v>26250000</v>
      </c>
      <c r="H128" s="6">
        <f>C128*H4</f>
        <v>33250000</v>
      </c>
      <c r="I128" s="6">
        <f>C128*I4</f>
        <v>47250000</v>
      </c>
      <c r="J128" s="6">
        <f>C128*J4</f>
        <v>54250000</v>
      </c>
    </row>
    <row r="129" spans="1:10">
      <c r="A129" s="14">
        <v>124</v>
      </c>
      <c r="B129" s="21" t="s">
        <v>138</v>
      </c>
      <c r="C129" s="22">
        <v>2300</v>
      </c>
      <c r="D129" s="23" t="s">
        <v>63</v>
      </c>
      <c r="E129" s="23">
        <v>4</v>
      </c>
      <c r="F129" s="6">
        <f>C129*F4</f>
        <v>14950000</v>
      </c>
      <c r="G129" s="6">
        <f>C129*G4</f>
        <v>17250000</v>
      </c>
      <c r="H129" s="6">
        <f>C129*H4</f>
        <v>21850000</v>
      </c>
      <c r="I129" s="6">
        <f>C129*I4</f>
        <v>31050000</v>
      </c>
      <c r="J129" s="6">
        <f>C129*J4</f>
        <v>35650000</v>
      </c>
    </row>
    <row r="130" spans="1:10">
      <c r="A130" s="14">
        <v>125</v>
      </c>
      <c r="B130" s="21" t="s">
        <v>139</v>
      </c>
      <c r="C130" s="22">
        <v>2050</v>
      </c>
      <c r="D130" s="23" t="s">
        <v>63</v>
      </c>
      <c r="E130" s="23">
        <v>4</v>
      </c>
      <c r="F130" s="6">
        <f>C130*F4</f>
        <v>13325000</v>
      </c>
      <c r="G130" s="6">
        <f>C130*G4</f>
        <v>15375000</v>
      </c>
      <c r="H130" s="6">
        <f>C130*H4</f>
        <v>19475000</v>
      </c>
      <c r="I130" s="6">
        <f>C130*I4</f>
        <v>27675000</v>
      </c>
      <c r="J130" s="6">
        <f>C130*J4</f>
        <v>31775000</v>
      </c>
    </row>
    <row r="131" spans="1:10">
      <c r="A131" s="66">
        <v>126</v>
      </c>
      <c r="B131" s="80" t="s">
        <v>140</v>
      </c>
      <c r="C131" s="81">
        <v>180</v>
      </c>
      <c r="D131" s="82"/>
      <c r="E131" s="82">
        <v>1</v>
      </c>
      <c r="F131" s="83">
        <f>C131*F4</f>
        <v>1170000</v>
      </c>
      <c r="G131" s="83">
        <f>C131*G4</f>
        <v>1350000</v>
      </c>
      <c r="H131" s="83">
        <f>C131*H4</f>
        <v>1710000</v>
      </c>
      <c r="I131" s="83">
        <f>C131*I4</f>
        <v>2430000</v>
      </c>
      <c r="J131" s="83">
        <f>C131*J4</f>
        <v>2790000</v>
      </c>
    </row>
    <row r="132" spans="1:10">
      <c r="A132" s="84"/>
      <c r="B132" t="s">
        <v>141</v>
      </c>
      <c r="J132" s="5"/>
    </row>
    <row r="133" spans="1:10">
      <c r="A133" s="84"/>
      <c r="B133" s="95" t="s">
        <v>165</v>
      </c>
      <c r="J133" s="5"/>
    </row>
    <row r="134" spans="1:10">
      <c r="B134" s="95" t="s">
        <v>166</v>
      </c>
      <c r="J134" s="5"/>
    </row>
    <row r="135" spans="1:10">
      <c r="B135" t="s">
        <v>142</v>
      </c>
      <c r="J135" s="5"/>
    </row>
    <row r="136" spans="1:10">
      <c r="B136" t="s">
        <v>143</v>
      </c>
      <c r="J136" s="5"/>
    </row>
    <row r="137" spans="1:10">
      <c r="B137" t="s">
        <v>144</v>
      </c>
      <c r="J137" s="5"/>
    </row>
    <row r="138" spans="1:10">
      <c r="B138" t="s">
        <v>145</v>
      </c>
      <c r="J138" s="5"/>
    </row>
    <row r="139" spans="1:10">
      <c r="B139" s="94" t="s">
        <v>146</v>
      </c>
      <c r="J139" s="5"/>
    </row>
    <row r="140" spans="1:10">
      <c r="B140" t="s">
        <v>147</v>
      </c>
      <c r="J140" s="5"/>
    </row>
    <row r="141" spans="1:10">
      <c r="B141" t="s">
        <v>148</v>
      </c>
      <c r="J141" s="5"/>
    </row>
    <row r="142" spans="1:10">
      <c r="J142" s="5"/>
    </row>
    <row r="143" spans="1:10">
      <c r="B143" t="s">
        <v>149</v>
      </c>
      <c r="J143" s="5"/>
    </row>
    <row r="144" spans="1:10">
      <c r="J144" s="5"/>
    </row>
    <row r="145" spans="10:10">
      <c r="J145" s="5"/>
    </row>
    <row r="146" spans="10:10">
      <c r="J146" s="5"/>
    </row>
    <row r="147" spans="10:10">
      <c r="J147" s="5"/>
    </row>
    <row r="148" spans="10:10">
      <c r="J148" s="5"/>
    </row>
    <row r="149" spans="10:10">
      <c r="J149" s="5"/>
    </row>
    <row r="150" spans="10:10">
      <c r="J150" s="5"/>
    </row>
    <row r="151" spans="10:10">
      <c r="J151" s="5"/>
    </row>
    <row r="152" spans="10:10">
      <c r="J152" s="5"/>
    </row>
    <row r="153" spans="10:10">
      <c r="J153" s="5"/>
    </row>
    <row r="154" spans="10:10">
      <c r="J154" s="5"/>
    </row>
    <row r="155" spans="10:10">
      <c r="J155" s="5"/>
    </row>
    <row r="156" spans="10:10">
      <c r="J156" s="5"/>
    </row>
    <row r="157" spans="10:10">
      <c r="J157" s="5"/>
    </row>
    <row r="158" spans="10:10">
      <c r="J158" s="5"/>
    </row>
    <row r="159" spans="10:10">
      <c r="J159" s="5"/>
    </row>
    <row r="160" spans="10:10">
      <c r="J160" s="5"/>
    </row>
    <row r="161" spans="1:10">
      <c r="J161" s="5"/>
    </row>
    <row r="162" spans="1:10">
      <c r="J162" s="5"/>
    </row>
    <row r="163" spans="1:10">
      <c r="A163" s="67"/>
      <c r="J163" s="5"/>
    </row>
    <row r="164" spans="1:10">
      <c r="A164" s="68"/>
      <c r="J164" s="5"/>
    </row>
    <row r="165" spans="1:10">
      <c r="A165" s="68"/>
      <c r="J165" s="5"/>
    </row>
    <row r="166" spans="1:10">
      <c r="A166" s="68"/>
      <c r="J166" s="5"/>
    </row>
    <row r="167" spans="1:10">
      <c r="A167" s="68"/>
      <c r="J167" s="5"/>
    </row>
    <row r="168" spans="1:10">
      <c r="A168" s="68"/>
      <c r="J168" s="5"/>
    </row>
    <row r="169" spans="1:10">
      <c r="A169" s="68"/>
      <c r="J169" s="5"/>
    </row>
    <row r="170" spans="1:10">
      <c r="A170" s="68"/>
      <c r="J170" s="5"/>
    </row>
    <row r="171" spans="1:10">
      <c r="J171" s="5"/>
    </row>
    <row r="172" spans="1:10">
      <c r="A172" s="69"/>
      <c r="J172" s="5"/>
    </row>
    <row r="173" spans="1:10">
      <c r="J173" s="5"/>
    </row>
  </sheetData>
  <mergeCells count="7">
    <mergeCell ref="A2:J2"/>
    <mergeCell ref="C3:J3"/>
    <mergeCell ref="A5:A6"/>
    <mergeCell ref="B5:B6"/>
    <mergeCell ref="C5:C6"/>
    <mergeCell ref="D5:D6"/>
    <mergeCell ref="E5:E6"/>
  </mergeCells>
  <pageMargins left="0.75" right="0.5" top="0" bottom="0" header="0.25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C8F5-E5FD-408F-8E1E-342C07F6FFF4}">
  <dimension ref="A1"/>
  <sheetViews>
    <sheetView workbookViewId="0">
      <selection activeCell="F18" sqref="F18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cp:lastPrinted>2023-07-29T01:20:00Z</cp:lastPrinted>
  <dcterms:created xsi:type="dcterms:W3CDTF">2014-12-06T08:13:00Z</dcterms:created>
  <dcterms:modified xsi:type="dcterms:W3CDTF">2025-10-17T07:33:11Z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E819ABEB82E3443DA25C863A853C5D7D_12</vt:lpwstr>
  </property>
</Properties>
</file>